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igos de metodos numericos\1er parcial\"/>
    </mc:Choice>
  </mc:AlternateContent>
  <xr:revisionPtr revIDLastSave="0" documentId="13_ncr:1_{E4A6960B-1000-4983-92AC-D956BAED7C98}" xr6:coauthVersionLast="47" xr6:coauthVersionMax="47" xr10:uidLastSave="{00000000-0000-0000-0000-000000000000}"/>
  <bookViews>
    <workbookView xWindow="-105" yWindow="0" windowWidth="14610" windowHeight="16305" xr2:uid="{EFF96C02-CB6D-402C-B186-3DD973B285E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2" i="1" l="1"/>
  <c r="E33" i="1" s="1"/>
  <c r="E32" i="1"/>
  <c r="C33" i="1"/>
  <c r="G23" i="1"/>
  <c r="N6" i="1"/>
  <c r="Q5" i="1"/>
  <c r="P6" i="1" s="1"/>
  <c r="P5" i="1"/>
  <c r="C24" i="1"/>
  <c r="F23" i="1"/>
  <c r="E24" i="1" s="1"/>
  <c r="E23" i="1"/>
  <c r="C15" i="1"/>
  <c r="F14" i="1"/>
  <c r="E15" i="1" s="1"/>
  <c r="E14" i="1"/>
  <c r="E5" i="1"/>
  <c r="C6" i="1"/>
  <c r="F5" i="1"/>
  <c r="G32" i="1" l="1"/>
  <c r="R5" i="1"/>
  <c r="G14" i="1"/>
  <c r="G5" i="1"/>
  <c r="D6" i="1" s="1"/>
  <c r="E6" i="1"/>
  <c r="D33" i="1" l="1"/>
  <c r="H32" i="1"/>
  <c r="F33" i="1" s="1"/>
  <c r="E34" i="1" s="1"/>
  <c r="O6" i="1"/>
  <c r="S5" i="1"/>
  <c r="Q6" i="1" s="1"/>
  <c r="P7" i="1" s="1"/>
  <c r="D24" i="1"/>
  <c r="H23" i="1"/>
  <c r="F24" i="1" s="1"/>
  <c r="E25" i="1" s="1"/>
  <c r="D15" i="1"/>
  <c r="H14" i="1"/>
  <c r="F15" i="1" s="1"/>
  <c r="E16" i="1" s="1"/>
  <c r="H5" i="1"/>
  <c r="F6" i="1" s="1"/>
  <c r="E7" i="1" s="1"/>
  <c r="C7" i="1"/>
  <c r="C34" i="1" l="1"/>
  <c r="G33" i="1"/>
  <c r="R6" i="1"/>
  <c r="N7" i="1"/>
  <c r="C25" i="1"/>
  <c r="G24" i="1"/>
  <c r="G15" i="1"/>
  <c r="C16" i="1"/>
  <c r="G6" i="1"/>
  <c r="H33" i="1" l="1"/>
  <c r="F34" i="1" s="1"/>
  <c r="E35" i="1" s="1"/>
  <c r="D34" i="1"/>
  <c r="I33" i="1"/>
  <c r="O7" i="1"/>
  <c r="S6" i="1"/>
  <c r="Q7" i="1" s="1"/>
  <c r="P8" i="1" s="1"/>
  <c r="T6" i="1"/>
  <c r="H6" i="1"/>
  <c r="F7" i="1" s="1"/>
  <c r="E8" i="1" s="1"/>
  <c r="I6" i="1"/>
  <c r="H24" i="1"/>
  <c r="F25" i="1" s="1"/>
  <c r="E26" i="1" s="1"/>
  <c r="D25" i="1"/>
  <c r="I24" i="1"/>
  <c r="D16" i="1"/>
  <c r="H15" i="1"/>
  <c r="F16" i="1" s="1"/>
  <c r="E17" i="1" s="1"/>
  <c r="I15" i="1"/>
  <c r="D7" i="1"/>
  <c r="C35" i="1" l="1"/>
  <c r="G34" i="1"/>
  <c r="N8" i="1"/>
  <c r="R7" i="1"/>
  <c r="G7" i="1"/>
  <c r="I7" i="1" s="1"/>
  <c r="C26" i="1"/>
  <c r="G25" i="1"/>
  <c r="C17" i="1"/>
  <c r="G16" i="1"/>
  <c r="C8" i="1"/>
  <c r="H7" i="1"/>
  <c r="F8" i="1" s="1"/>
  <c r="E9" i="1" s="1"/>
  <c r="D8" i="1"/>
  <c r="D35" i="1" l="1"/>
  <c r="H34" i="1"/>
  <c r="F35" i="1" s="1"/>
  <c r="E36" i="1" s="1"/>
  <c r="I34" i="1"/>
  <c r="O8" i="1"/>
  <c r="S7" i="1"/>
  <c r="Q8" i="1" s="1"/>
  <c r="P9" i="1" s="1"/>
  <c r="T7" i="1"/>
  <c r="D26" i="1"/>
  <c r="H25" i="1"/>
  <c r="F26" i="1" s="1"/>
  <c r="E27" i="1" s="1"/>
  <c r="I25" i="1"/>
  <c r="D17" i="1"/>
  <c r="H16" i="1"/>
  <c r="F17" i="1" s="1"/>
  <c r="E18" i="1" s="1"/>
  <c r="I16" i="1"/>
  <c r="C9" i="1"/>
  <c r="G8" i="1"/>
  <c r="I8" i="1" s="1"/>
  <c r="C36" i="1" l="1"/>
  <c r="G35" i="1"/>
  <c r="N9" i="1"/>
  <c r="R8" i="1"/>
  <c r="G26" i="1"/>
  <c r="C27" i="1"/>
  <c r="G17" i="1"/>
  <c r="C18" i="1"/>
  <c r="D9" i="1"/>
  <c r="H8" i="1"/>
  <c r="F9" i="1" s="1"/>
  <c r="D36" i="1" l="1"/>
  <c r="H35" i="1"/>
  <c r="F36" i="1" s="1"/>
  <c r="I35" i="1"/>
  <c r="O9" i="1"/>
  <c r="S8" i="1"/>
  <c r="Q9" i="1" s="1"/>
  <c r="T8" i="1"/>
  <c r="H26" i="1"/>
  <c r="F27" i="1" s="1"/>
  <c r="D27" i="1"/>
  <c r="I26" i="1"/>
  <c r="D18" i="1"/>
  <c r="H17" i="1"/>
  <c r="F18" i="1" s="1"/>
  <c r="I17" i="1"/>
  <c r="G9" i="1"/>
  <c r="G36" i="1" l="1"/>
  <c r="R9" i="1"/>
  <c r="H9" i="1"/>
  <c r="I9" i="1"/>
  <c r="G27" i="1"/>
  <c r="H27" i="1" s="1"/>
  <c r="I27" i="1"/>
  <c r="G18" i="1"/>
  <c r="H36" i="1" l="1"/>
  <c r="I36" i="1"/>
  <c r="S9" i="1"/>
  <c r="T9" i="1"/>
  <c r="H18" i="1"/>
  <c r="I18" i="1"/>
</calcChain>
</file>

<file path=xl/sharedStrings.xml><?xml version="1.0" encoding="utf-8"?>
<sst xmlns="http://schemas.openxmlformats.org/spreadsheetml/2006/main" count="111" uniqueCount="23">
  <si>
    <t>xi - 1</t>
  </si>
  <si>
    <t>xi</t>
  </si>
  <si>
    <t xml:space="preserve">f(xi - 1) </t>
  </si>
  <si>
    <t>f(xi)</t>
  </si>
  <si>
    <t>xi + 1</t>
  </si>
  <si>
    <t>f(xi + 1)</t>
  </si>
  <si>
    <t>A</t>
  </si>
  <si>
    <t>B</t>
  </si>
  <si>
    <t>C</t>
  </si>
  <si>
    <t>D</t>
  </si>
  <si>
    <t>1.ra</t>
  </si>
  <si>
    <t>2.da</t>
  </si>
  <si>
    <t>3.ra</t>
  </si>
  <si>
    <t>4.ta</t>
  </si>
  <si>
    <t>5.ta</t>
  </si>
  <si>
    <t>Columna1</t>
  </si>
  <si>
    <t>Columna2</t>
  </si>
  <si>
    <t>Columna3</t>
  </si>
  <si>
    <t>Metodo secante</t>
  </si>
  <si>
    <t>E%</t>
  </si>
  <si>
    <t>Columna4</t>
  </si>
  <si>
    <t>Iteraciones</t>
  </si>
  <si>
    <t>Sin 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</si>
</sst>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0.0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0" applyNumberFormat="1"/>
    <xf numFmtId="164" fontId="1" fillId="0" borderId="0" xfId="0" applyNumberFormat="1" applyFont="1"/>
    <xf numFmtId="164" fontId="0" fillId="0" borderId="0" xfId="1" applyNumberFormat="1" applyFont="1"/>
  </cellXfs>
  <cellStyles count="2">
    <cellStyle name="Moneda" xfId="1" builtinId="4"/>
    <cellStyle name="Normal" xfId="0" builtinId="0"/>
  </cellStyles>
  <dxfs count="40"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14C6E04-3887-41F0-AE80-EA3F6B00CFA1}" name="Tabla14" displayName="Tabla14" ref="B3:I9" totalsRowShown="0" headerRowDxfId="39">
  <autoFilter ref="B3:I9" xr:uid="{A14C6E04-3887-41F0-AE80-EA3F6B00CFA1}"/>
  <tableColumns count="8">
    <tableColumn id="1" xr3:uid="{BC320C0A-B3B7-4BD1-BD18-2FAA03571596}" name="Columna1"/>
    <tableColumn id="2" xr3:uid="{653B7F65-03DC-4311-B9F2-A1316B3861A7}" name="A" dataDxfId="38">
      <calculatedColumnFormula>D3</calculatedColumnFormula>
    </tableColumn>
    <tableColumn id="3" xr3:uid="{918B13F7-790E-4883-B207-70A3B4252012}" name="B" dataDxfId="37">
      <calculatedColumnFormula>G3</calculatedColumnFormula>
    </tableColumn>
    <tableColumn id="4" xr3:uid="{C9C5B520-BE8A-43D0-B9D7-F3DAD0D6553A}" name="C" dataDxfId="36">
      <calculatedColumnFormula>F3</calculatedColumnFormula>
    </tableColumn>
    <tableColumn id="5" xr3:uid="{87815039-0422-447A-A11F-0B77DA755EB4}" name="D" dataDxfId="35">
      <calculatedColumnFormula>H3</calculatedColumnFormula>
    </tableColumn>
    <tableColumn id="6" xr3:uid="{FF3A8B18-0A81-436A-9141-3802C5D27D63}" name="Columna2" dataDxfId="34">
      <calculatedColumnFormula>D4-((F4*(C4-D4))/(E4-F4))</calculatedColumnFormula>
    </tableColumn>
    <tableColumn id="7" xr3:uid="{06B43CF8-754F-4E16-BD2B-7E333230E5A8}" name="Columna3" dataDxfId="33">
      <calculatedColumnFormula>SIN(G4)+COS(1+G4^2)-1</calculatedColumnFormula>
    </tableColumn>
    <tableColumn id="8" xr3:uid="{244F8CCA-C943-4B42-9C46-3CE943D9C3DA}" name="Columna4" dataDxfId="32"/>
  </tableColumns>
  <tableStyleInfo name="TableStyleDark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83E0EA9-4076-496B-B364-DC72E52BC325}" name="Tabla147" displayName="Tabla147" ref="B12:I18" totalsRowShown="0" headerRowDxfId="31">
  <autoFilter ref="B12:I18" xr:uid="{383E0EA9-4076-496B-B364-DC72E52BC325}"/>
  <tableColumns count="8">
    <tableColumn id="1" xr3:uid="{444761C4-142C-49A1-A873-B72167048EB8}" name="Columna1"/>
    <tableColumn id="2" xr3:uid="{5EF3FF61-AC58-48E1-AE84-8B49DAB3BFE3}" name="A" dataDxfId="30">
      <calculatedColumnFormula>D12</calculatedColumnFormula>
    </tableColumn>
    <tableColumn id="3" xr3:uid="{31FFB868-0A4E-4485-9A8D-5C51FA577A83}" name="B" dataDxfId="29">
      <calculatedColumnFormula>G12</calculatedColumnFormula>
    </tableColumn>
    <tableColumn id="4" xr3:uid="{A24FDD26-E362-4FE7-8444-D968628BDAA5}" name="C" dataDxfId="28">
      <calculatedColumnFormula>F12</calculatedColumnFormula>
    </tableColumn>
    <tableColumn id="5" xr3:uid="{53622669-3B90-4531-A996-63EF176A4D2D}" name="D" dataDxfId="27">
      <calculatedColumnFormula>H12</calculatedColumnFormula>
    </tableColumn>
    <tableColumn id="6" xr3:uid="{BD9E99EA-7869-41DA-B22F-6BBBF947914D}" name="Columna2" dataDxfId="26">
      <calculatedColumnFormula>D13-((F13*(C13-D13))/(E13-F13))</calculatedColumnFormula>
    </tableColumn>
    <tableColumn id="7" xr3:uid="{6D2DAA80-5203-4B0E-BACA-28B94F2A88E2}" name="Columna3" dataDxfId="25">
      <calculatedColumnFormula>SIN(G13)+COS(1+G13^2)-1</calculatedColumnFormula>
    </tableColumn>
    <tableColumn id="8" xr3:uid="{5100B8A1-58B2-4C80-A5C6-AF15087A7869}" name="Columna4" dataDxfId="24"/>
  </tableColumns>
  <tableStyleInfo name="TableStyleDark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C5A0569-2B80-4E40-A95C-00FE3C954CE0}" name="Tabla148" displayName="Tabla148" ref="B21:I27" totalsRowShown="0" headerRowDxfId="23">
  <autoFilter ref="B21:I27" xr:uid="{0C5A0569-2B80-4E40-A95C-00FE3C954CE0}"/>
  <tableColumns count="8">
    <tableColumn id="1" xr3:uid="{BB9F028E-25FB-46B6-9A0B-553893DAA0F8}" name="Columna1"/>
    <tableColumn id="2" xr3:uid="{FB0EC239-117A-449D-9682-EBD3A87000A2}" name="A" dataDxfId="22">
      <calculatedColumnFormula>D21</calculatedColumnFormula>
    </tableColumn>
    <tableColumn id="3" xr3:uid="{94A61B62-2F6E-412C-B05C-4FC7C5C559C2}" name="B" dataDxfId="21">
      <calculatedColumnFormula>G21</calculatedColumnFormula>
    </tableColumn>
    <tableColumn id="4" xr3:uid="{9F8BF674-12C2-4F04-8B73-8E66351452AE}" name="C" dataDxfId="20">
      <calculatedColumnFormula>F21</calculatedColumnFormula>
    </tableColumn>
    <tableColumn id="5" xr3:uid="{383FAB3E-3F41-4461-8BF6-0AAFBBE05C26}" name="D" dataDxfId="19">
      <calculatedColumnFormula>H21</calculatedColumnFormula>
    </tableColumn>
    <tableColumn id="6" xr3:uid="{52730D85-62DA-49E0-B1BA-470B039ADC4F}" name="Columna2" dataDxfId="18">
      <calculatedColumnFormula>D22-((F22*(C22-D22))/(E22-F22))</calculatedColumnFormula>
    </tableColumn>
    <tableColumn id="7" xr3:uid="{F7693945-A1D6-420A-AF15-6C8AA33B84C3}" name="Columna3" dataDxfId="17">
      <calculatedColumnFormula>SIN(G22)+COS(1+G22^2)-1</calculatedColumnFormula>
    </tableColumn>
    <tableColumn id="8" xr3:uid="{3AE3FB28-07C4-4DAF-8BF3-38427E4E0A05}" name="Columna4" dataDxfId="16"/>
  </tableColumns>
  <tableStyleInfo name="TableStyleDark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4B48278-D2E7-44BB-B4F3-606C41C6F84B}" name="Tabla1489" displayName="Tabla1489" ref="M3:T9" totalsRowShown="0" headerRowDxfId="15">
  <autoFilter ref="M3:T9" xr:uid="{24B48278-D2E7-44BB-B4F3-606C41C6F84B}"/>
  <tableColumns count="8">
    <tableColumn id="1" xr3:uid="{E19A96E6-6F9D-4860-A5B2-2824ECBABA91}" name="Columna1"/>
    <tableColumn id="2" xr3:uid="{CE6D2256-AFDF-4955-88B3-D6E358597550}" name="A" dataDxfId="14">
      <calculatedColumnFormula>O3</calculatedColumnFormula>
    </tableColumn>
    <tableColumn id="3" xr3:uid="{D810A338-66DB-4A2E-A2A4-C38AA667482E}" name="B" dataDxfId="13">
      <calculatedColumnFormula>R3</calculatedColumnFormula>
    </tableColumn>
    <tableColumn id="4" xr3:uid="{D6886159-1385-4ADB-A514-B6B8DB152A60}" name="C" dataDxfId="12">
      <calculatedColumnFormula>Q3</calculatedColumnFormula>
    </tableColumn>
    <tableColumn id="5" xr3:uid="{B165A358-12BF-4EF5-8096-F36C2F906997}" name="D" dataDxfId="11">
      <calculatedColumnFormula>S3</calculatedColumnFormula>
    </tableColumn>
    <tableColumn id="6" xr3:uid="{F41C3F35-DAB7-4A35-BC70-A5003B1EF7C4}" name="Columna2" dataDxfId="10">
      <calculatedColumnFormula>O4-((Q4*(N4-O4))/(P4-Q4))</calculatedColumnFormula>
    </tableColumn>
    <tableColumn id="7" xr3:uid="{92259D81-15D5-4068-B025-F8BC430BB354}" name="Columna3" dataDxfId="9">
      <calculatedColumnFormula>SIN(R4)+COS(1+R4^2)-1</calculatedColumnFormula>
    </tableColumn>
    <tableColumn id="8" xr3:uid="{A9681CA0-1AF2-4BFF-8EAB-70A8FB62F336}" name="Columna4" dataDxfId="8"/>
  </tableColumns>
  <tableStyleInfo name="TableStyleDark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613EA6-B070-4E11-998B-7B7154A1F897}" name="Tabla14893" displayName="Tabla14893" ref="B30:I36" totalsRowShown="0" headerRowDxfId="7">
  <autoFilter ref="B30:I36" xr:uid="{36613EA6-B070-4E11-998B-7B7154A1F897}"/>
  <tableColumns count="8">
    <tableColumn id="1" xr3:uid="{B7D73761-7040-4ACA-B07A-F77C86DF0DC9}" name="Columna1"/>
    <tableColumn id="2" xr3:uid="{A12017FE-9DC3-47A4-BDA2-D0D817FFE736}" name="A" dataDxfId="6">
      <calculatedColumnFormula>D30</calculatedColumnFormula>
    </tableColumn>
    <tableColumn id="3" xr3:uid="{514FF5C8-C10E-4675-A96B-E50FD2D37687}" name="B" dataDxfId="5">
      <calculatedColumnFormula>G30</calculatedColumnFormula>
    </tableColumn>
    <tableColumn id="4" xr3:uid="{0EAC4CAC-F7D4-455B-BAAE-890F98769122}" name="C" dataDxfId="4">
      <calculatedColumnFormula>F30</calculatedColumnFormula>
    </tableColumn>
    <tableColumn id="5" xr3:uid="{5C7DBA3E-BCA0-4ABB-8BCE-391F844F8FAD}" name="D" dataDxfId="3">
      <calculatedColumnFormula>H30</calculatedColumnFormula>
    </tableColumn>
    <tableColumn id="6" xr3:uid="{28B01C3B-E084-4AB5-BB2F-043719606070}" name="Columna2" dataDxfId="2">
      <calculatedColumnFormula>D31-((F31*(C31-D31))/(E31-F31))</calculatedColumnFormula>
    </tableColumn>
    <tableColumn id="7" xr3:uid="{6E7DA483-F0DC-4B53-9A4A-F6A9D10C1868}" name="Columna3" dataDxfId="1">
      <calculatedColumnFormula>SIN(G31)+COS(1+G31^2)-1</calculatedColumnFormula>
    </tableColumn>
    <tableColumn id="8" xr3:uid="{CFBE639F-1B58-4B21-86FB-07F9E895EC11}" name="Columna4" dataDxfId="0"/>
  </tableColumns>
  <tableStyleInfo name="TableStyleDark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365AD-6BA4-4140-AA01-4626E5DA3307}">
  <dimension ref="B3:T36"/>
  <sheetViews>
    <sheetView tabSelected="1" topLeftCell="A16" zoomScale="118" zoomScaleNormal="99" workbookViewId="0">
      <selection activeCell="B30" sqref="B30:I36"/>
    </sheetView>
  </sheetViews>
  <sheetFormatPr baseColWidth="10" defaultRowHeight="15" x14ac:dyDescent="0.25"/>
  <cols>
    <col min="5" max="6" width="12" bestFit="1" customWidth="1"/>
    <col min="10" max="10" width="10.85546875" customWidth="1"/>
    <col min="11" max="11" width="14.140625" customWidth="1"/>
  </cols>
  <sheetData>
    <row r="3" spans="2:20" x14ac:dyDescent="0.25">
      <c r="B3" t="s">
        <v>15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16</v>
      </c>
      <c r="H3" s="1" t="s">
        <v>17</v>
      </c>
      <c r="I3" s="1" t="s">
        <v>20</v>
      </c>
      <c r="K3" t="s">
        <v>18</v>
      </c>
      <c r="M3" t="s">
        <v>15</v>
      </c>
      <c r="N3" s="1" t="s">
        <v>6</v>
      </c>
      <c r="O3" s="1" t="s">
        <v>7</v>
      </c>
      <c r="P3" s="1" t="s">
        <v>8</v>
      </c>
      <c r="Q3" s="1" t="s">
        <v>9</v>
      </c>
      <c r="R3" s="1" t="s">
        <v>16</v>
      </c>
      <c r="S3" s="1" t="s">
        <v>17</v>
      </c>
      <c r="T3" s="1" t="s">
        <v>20</v>
      </c>
    </row>
    <row r="4" spans="2:20" x14ac:dyDescent="0.25">
      <c r="B4" t="s">
        <v>21</v>
      </c>
      <c r="C4" s="1" t="s">
        <v>0</v>
      </c>
      <c r="D4" s="1" t="s">
        <v>1</v>
      </c>
      <c r="E4" s="1" t="s">
        <v>2</v>
      </c>
      <c r="F4" s="1" t="s">
        <v>3</v>
      </c>
      <c r="G4" s="1" t="s">
        <v>4</v>
      </c>
      <c r="H4" s="1" t="s">
        <v>5</v>
      </c>
      <c r="I4" s="3" t="s">
        <v>19</v>
      </c>
      <c r="M4" t="s">
        <v>21</v>
      </c>
      <c r="N4" s="1" t="s">
        <v>0</v>
      </c>
      <c r="O4" s="1" t="s">
        <v>1</v>
      </c>
      <c r="P4" s="1" t="s">
        <v>2</v>
      </c>
      <c r="Q4" s="1" t="s">
        <v>3</v>
      </c>
      <c r="R4" s="1" t="s">
        <v>4</v>
      </c>
      <c r="S4" s="1" t="s">
        <v>5</v>
      </c>
      <c r="T4" s="3" t="s">
        <v>19</v>
      </c>
    </row>
    <row r="5" spans="2:20" x14ac:dyDescent="0.25">
      <c r="B5" t="s">
        <v>10</v>
      </c>
      <c r="C5" s="2">
        <v>1</v>
      </c>
      <c r="D5" s="2">
        <v>3</v>
      </c>
      <c r="E5" s="2">
        <f>SIN(C5)+COS(1+C5^2)-1</f>
        <v>-0.57467585173924585</v>
      </c>
      <c r="F5" s="2">
        <f>SIN(D5)+COS(1+D5^2)-1</f>
        <v>-1.6979515210165852</v>
      </c>
      <c r="G5" s="2">
        <f>D5-((F5*(C5-D5))/(E5-F5))</f>
        <v>-2.321427848421953E-2</v>
      </c>
      <c r="H5" s="2">
        <f>SIN(G5)+COS(1+G5^2)-1</f>
        <v>-0.48336343707408713</v>
      </c>
      <c r="I5" s="1" t="s">
        <v>22</v>
      </c>
      <c r="M5" t="s">
        <v>10</v>
      </c>
      <c r="N5" s="2"/>
      <c r="O5" s="2"/>
      <c r="P5" s="2">
        <f>SIN(N5)+COS(1+N5^2)-1</f>
        <v>-0.45969769413186023</v>
      </c>
      <c r="Q5" s="2">
        <f>SIN(O5)+COS(1+O5^2)-1</f>
        <v>-0.45969769413186023</v>
      </c>
      <c r="R5" s="2" t="e">
        <f>O5-((Q5*(N5-O5))/(P5-Q5))</f>
        <v>#DIV/0!</v>
      </c>
      <c r="S5" s="2" t="e">
        <f>SIN(R5)+COS(1+R5^2)-1</f>
        <v>#DIV/0!</v>
      </c>
      <c r="T5" s="1" t="s">
        <v>22</v>
      </c>
    </row>
    <row r="6" spans="2:20" x14ac:dyDescent="0.25">
      <c r="B6" t="s">
        <v>11</v>
      </c>
      <c r="C6" s="1">
        <f>D5</f>
        <v>3</v>
      </c>
      <c r="D6" s="1">
        <f>G5</f>
        <v>-2.321427848421953E-2</v>
      </c>
      <c r="E6" s="1">
        <f>F5</f>
        <v>-1.6979515210165852</v>
      </c>
      <c r="F6" s="1">
        <f>H5</f>
        <v>-0.48336343707408713</v>
      </c>
      <c r="G6" s="1">
        <f>D6-((F6*(C6-D6))/(E6-F6))</f>
        <v>-1.226347475638796</v>
      </c>
      <c r="H6" s="1">
        <f>SIN(G6)+COS(1+G6^2)-1</f>
        <v>-2.744750011957847</v>
      </c>
      <c r="I6" s="1">
        <f>ABS((Tabla14[[#This Row],[Columna2]]-G5)/Tabla14[[#This Row],[Columna2]])*100</f>
        <v>98.107039077800735</v>
      </c>
      <c r="M6" t="s">
        <v>11</v>
      </c>
      <c r="N6" s="1">
        <f>O5</f>
        <v>0</v>
      </c>
      <c r="O6" s="1" t="e">
        <f>R5</f>
        <v>#DIV/0!</v>
      </c>
      <c r="P6" s="1">
        <f>Q5</f>
        <v>-0.45969769413186023</v>
      </c>
      <c r="Q6" s="1" t="e">
        <f>S5</f>
        <v>#DIV/0!</v>
      </c>
      <c r="R6" s="1" t="e">
        <f>O6-((Q6*(N6-O6))/(P6-Q6))</f>
        <v>#DIV/0!</v>
      </c>
      <c r="S6" s="1" t="e">
        <f>SIN(R6)+COS(1+R6^2)-1</f>
        <v>#DIV/0!</v>
      </c>
      <c r="T6" s="1" t="e">
        <f>ABS((Tabla1489[[#This Row],[Columna2]]-R5)/Tabla1489[[#This Row],[Columna2]])*100</f>
        <v>#DIV/0!</v>
      </c>
    </row>
    <row r="7" spans="2:20" x14ac:dyDescent="0.25">
      <c r="B7" t="s">
        <v>12</v>
      </c>
      <c r="C7" s="1">
        <f t="shared" ref="C7:C9" si="0">D6</f>
        <v>-2.321427848421953E-2</v>
      </c>
      <c r="D7" s="1">
        <f t="shared" ref="D7:D9" si="1">G6</f>
        <v>-1.226347475638796</v>
      </c>
      <c r="E7" s="1">
        <f t="shared" ref="E7:E9" si="2">F6</f>
        <v>-0.48336343707408713</v>
      </c>
      <c r="F7" s="1">
        <f t="shared" ref="F7:F9" si="3">H6</f>
        <v>-2.744750011957847</v>
      </c>
      <c r="G7" s="1">
        <f t="shared" ref="G7:G9" si="4">D7-((F7*(C7-D7))/(E7-F7))</f>
        <v>0.23395121630274063</v>
      </c>
      <c r="H7" s="1">
        <f t="shared" ref="H7:H9" si="5">SIN(G7)+COS(1+G7^2)-1</f>
        <v>-0.27471727281811131</v>
      </c>
      <c r="I7" s="1">
        <f>ABS((Tabla14[[#This Row],[Columna2]]-G6)/Tabla14[[#This Row],[Columna2]])*100</f>
        <v>624.18939940532812</v>
      </c>
      <c r="M7" t="s">
        <v>12</v>
      </c>
      <c r="N7" s="1" t="e">
        <f t="shared" ref="N7:N9" si="6">O6</f>
        <v>#DIV/0!</v>
      </c>
      <c r="O7" s="1" t="e">
        <f t="shared" ref="O7:O9" si="7">R6</f>
        <v>#DIV/0!</v>
      </c>
      <c r="P7" s="1" t="e">
        <f t="shared" ref="P7:P9" si="8">Q6</f>
        <v>#DIV/0!</v>
      </c>
      <c r="Q7" s="1" t="e">
        <f t="shared" ref="Q7:Q9" si="9">S6</f>
        <v>#DIV/0!</v>
      </c>
      <c r="R7" s="1" t="e">
        <f t="shared" ref="R7:R9" si="10">O7-((Q7*(N7-O7))/(P7-Q7))</f>
        <v>#DIV/0!</v>
      </c>
      <c r="S7" s="1" t="e">
        <f t="shared" ref="S7:S9" si="11">SIN(R7)+COS(1+R7^2)-1</f>
        <v>#DIV/0!</v>
      </c>
      <c r="T7" s="1" t="e">
        <f>ABS((Tabla1489[[#This Row],[Columna2]]-R6)/Tabla1489[[#This Row],[Columna2]])*100</f>
        <v>#DIV/0!</v>
      </c>
    </row>
    <row r="8" spans="2:20" x14ac:dyDescent="0.25">
      <c r="B8" t="s">
        <v>13</v>
      </c>
      <c r="C8" s="1">
        <f t="shared" si="0"/>
        <v>-1.226347475638796</v>
      </c>
      <c r="D8" s="1">
        <f t="shared" si="1"/>
        <v>0.23395121630274063</v>
      </c>
      <c r="E8" s="1">
        <f t="shared" si="2"/>
        <v>-2.744750011957847</v>
      </c>
      <c r="F8" s="1">
        <f t="shared" si="3"/>
        <v>-0.27471727281811131</v>
      </c>
      <c r="G8" s="1">
        <f t="shared" si="4"/>
        <v>0.39636577372668541</v>
      </c>
      <c r="H8" s="1">
        <f t="shared" si="5"/>
        <v>-0.21194032561645204</v>
      </c>
      <c r="I8" s="1">
        <f>ABS((Tabla14[[#This Row],[Columna2]]-G7)/Tabla14[[#This Row],[Columna2]])*100</f>
        <v>40.975928848977247</v>
      </c>
      <c r="M8" t="s">
        <v>13</v>
      </c>
      <c r="N8" s="1" t="e">
        <f t="shared" si="6"/>
        <v>#DIV/0!</v>
      </c>
      <c r="O8" s="1" t="e">
        <f t="shared" si="7"/>
        <v>#DIV/0!</v>
      </c>
      <c r="P8" s="1" t="e">
        <f t="shared" si="8"/>
        <v>#DIV/0!</v>
      </c>
      <c r="Q8" s="1" t="e">
        <f t="shared" si="9"/>
        <v>#DIV/0!</v>
      </c>
      <c r="R8" s="1" t="e">
        <f t="shared" si="10"/>
        <v>#DIV/0!</v>
      </c>
      <c r="S8" s="1" t="e">
        <f t="shared" si="11"/>
        <v>#DIV/0!</v>
      </c>
      <c r="T8" s="1" t="e">
        <f>ABS((Tabla1489[[#This Row],[Columna2]]-R7)/Tabla1489[[#This Row],[Columna2]])*100</f>
        <v>#DIV/0!</v>
      </c>
    </row>
    <row r="9" spans="2:20" x14ac:dyDescent="0.25">
      <c r="B9" t="s">
        <v>14</v>
      </c>
      <c r="C9" s="1">
        <f t="shared" si="0"/>
        <v>0.23395121630274063</v>
      </c>
      <c r="D9" s="1">
        <f t="shared" si="1"/>
        <v>0.39636577372668541</v>
      </c>
      <c r="E9" s="1">
        <f t="shared" si="2"/>
        <v>-0.27471727281811131</v>
      </c>
      <c r="F9" s="1">
        <f t="shared" si="3"/>
        <v>-0.21194032561645204</v>
      </c>
      <c r="G9" s="1">
        <f t="shared" si="4"/>
        <v>0.94469116576443302</v>
      </c>
      <c r="H9" s="1">
        <f t="shared" si="5"/>
        <v>-0.5058116970701505</v>
      </c>
      <c r="I9" s="1">
        <f>ABS((Tabla14[[#This Row],[Columna2]]-G8)/Tabla14[[#This Row],[Columna2]])*100</f>
        <v>58.04281990866815</v>
      </c>
      <c r="M9" t="s">
        <v>14</v>
      </c>
      <c r="N9" s="1" t="e">
        <f t="shared" si="6"/>
        <v>#DIV/0!</v>
      </c>
      <c r="O9" s="1" t="e">
        <f t="shared" si="7"/>
        <v>#DIV/0!</v>
      </c>
      <c r="P9" s="1" t="e">
        <f t="shared" si="8"/>
        <v>#DIV/0!</v>
      </c>
      <c r="Q9" s="1" t="e">
        <f t="shared" si="9"/>
        <v>#DIV/0!</v>
      </c>
      <c r="R9" s="1" t="e">
        <f t="shared" si="10"/>
        <v>#DIV/0!</v>
      </c>
      <c r="S9" s="1" t="e">
        <f t="shared" si="11"/>
        <v>#DIV/0!</v>
      </c>
      <c r="T9" s="1" t="e">
        <f>ABS((Tabla1489[[#This Row],[Columna2]]-R8)/Tabla1489[[#This Row],[Columna2]])*100</f>
        <v>#DIV/0!</v>
      </c>
    </row>
    <row r="12" spans="2:20" x14ac:dyDescent="0.25">
      <c r="B12" t="s">
        <v>15</v>
      </c>
      <c r="C12" s="1" t="s">
        <v>6</v>
      </c>
      <c r="D12" s="1" t="s">
        <v>7</v>
      </c>
      <c r="E12" s="1" t="s">
        <v>8</v>
      </c>
      <c r="F12" s="1" t="s">
        <v>9</v>
      </c>
      <c r="G12" s="1" t="s">
        <v>16</v>
      </c>
      <c r="H12" s="1" t="s">
        <v>17</v>
      </c>
      <c r="I12" s="1" t="s">
        <v>20</v>
      </c>
    </row>
    <row r="13" spans="2:20" x14ac:dyDescent="0.25">
      <c r="B13" t="s">
        <v>21</v>
      </c>
      <c r="C13" s="1" t="s">
        <v>0</v>
      </c>
      <c r="D13" s="1" t="s">
        <v>1</v>
      </c>
      <c r="E13" s="1" t="s">
        <v>2</v>
      </c>
      <c r="F13" s="1" t="s">
        <v>3</v>
      </c>
      <c r="G13" s="1" t="s">
        <v>4</v>
      </c>
      <c r="H13" s="1" t="s">
        <v>5</v>
      </c>
      <c r="I13" s="3" t="s">
        <v>19</v>
      </c>
    </row>
    <row r="14" spans="2:20" x14ac:dyDescent="0.25">
      <c r="B14" t="s">
        <v>10</v>
      </c>
      <c r="C14" s="2">
        <v>1.5</v>
      </c>
      <c r="D14" s="2">
        <v>2.5</v>
      </c>
      <c r="E14" s="2">
        <f>SIN(C14)+COS(1+C14^2)-1</f>
        <v>-0.99663468947649181</v>
      </c>
      <c r="F14" s="2">
        <f>SIN(D14)+COS(1+D14^2)-1</f>
        <v>0.16639631739265148</v>
      </c>
      <c r="G14" s="2">
        <f>D14-((F14*(C14-D14))/(E14-F14))</f>
        <v>2.356928734995134</v>
      </c>
      <c r="H14" s="2">
        <f>SIN(G14)+COS(1+G14^2)-1</f>
        <v>0.6698423142602048</v>
      </c>
      <c r="I14" s="1" t="s">
        <v>22</v>
      </c>
    </row>
    <row r="15" spans="2:20" x14ac:dyDescent="0.25">
      <c r="B15" t="s">
        <v>11</v>
      </c>
      <c r="C15" s="1">
        <f>D14</f>
        <v>2.5</v>
      </c>
      <c r="D15" s="1">
        <f>G14</f>
        <v>2.356928734995134</v>
      </c>
      <c r="E15" s="1">
        <f>F14</f>
        <v>0.16639631739265148</v>
      </c>
      <c r="F15" s="1">
        <f>H14</f>
        <v>0.6698423142602048</v>
      </c>
      <c r="G15" s="1">
        <f>D15-((F15*(C15-D15))/(E15-F15))</f>
        <v>2.5472871604296037</v>
      </c>
      <c r="H15" s="1">
        <f>SIN(G15)+COS(1+G15^2)-1</f>
        <v>-8.2827907375874088E-2</v>
      </c>
      <c r="I15" s="1">
        <f>ABS((Tabla147[[#This Row],[Columna2]]-G14)/Tabla147[[#This Row],[Columna2]])*100</f>
        <v>7.4729864929074363</v>
      </c>
    </row>
    <row r="16" spans="2:20" x14ac:dyDescent="0.25">
      <c r="B16" t="s">
        <v>12</v>
      </c>
      <c r="C16" s="1">
        <f t="shared" ref="C16:C18" si="12">D15</f>
        <v>2.356928734995134</v>
      </c>
      <c r="D16" s="1">
        <f t="shared" ref="D16:D18" si="13">G15</f>
        <v>2.5472871604296037</v>
      </c>
      <c r="E16" s="1">
        <f t="shared" ref="E16:E18" si="14">F15</f>
        <v>0.6698423142602048</v>
      </c>
      <c r="F16" s="1">
        <f t="shared" ref="F16:F18" si="15">H15</f>
        <v>-8.2827907375874088E-2</v>
      </c>
      <c r="G16" s="1">
        <f t="shared" ref="G16:G18" si="16">D16-((F16*(C16-D16))/(E16-F16))</f>
        <v>2.5263390883830827</v>
      </c>
      <c r="H16" s="1">
        <f t="shared" ref="H16:H18" si="17">SIN(G16)+COS(1+G16^2)-1</f>
        <v>3.1471092610888984E-2</v>
      </c>
      <c r="I16" s="1">
        <f>ABS((Tabla147[[#This Row],[Columna2]]-G15)/Tabla147[[#This Row],[Columna2]])*100</f>
        <v>0.82918687134466207</v>
      </c>
    </row>
    <row r="17" spans="2:9" x14ac:dyDescent="0.25">
      <c r="B17" t="s">
        <v>13</v>
      </c>
      <c r="C17" s="1">
        <f t="shared" si="12"/>
        <v>2.5472871604296037</v>
      </c>
      <c r="D17" s="1">
        <f t="shared" si="13"/>
        <v>2.5263390883830827</v>
      </c>
      <c r="E17" s="1">
        <f t="shared" si="14"/>
        <v>-8.2827907375874088E-2</v>
      </c>
      <c r="F17" s="1">
        <f t="shared" si="15"/>
        <v>3.1471092610888984E-2</v>
      </c>
      <c r="G17" s="1">
        <f t="shared" si="16"/>
        <v>2.5321069316316849</v>
      </c>
      <c r="H17" s="1">
        <f t="shared" si="17"/>
        <v>5.7006635777878678E-4</v>
      </c>
      <c r="I17" s="1">
        <f>ABS((Tabla147[[#This Row],[Columna2]]-G16)/Tabla147[[#This Row],[Columna2]])*100</f>
        <v>0.22778829663743097</v>
      </c>
    </row>
    <row r="18" spans="2:9" x14ac:dyDescent="0.25">
      <c r="B18" t="s">
        <v>14</v>
      </c>
      <c r="C18" s="1">
        <f t="shared" si="12"/>
        <v>2.5263390883830827</v>
      </c>
      <c r="D18" s="1">
        <f t="shared" si="13"/>
        <v>2.5321069316316849</v>
      </c>
      <c r="E18" s="1">
        <f t="shared" si="14"/>
        <v>3.1471092610888984E-2</v>
      </c>
      <c r="F18" s="1">
        <f t="shared" si="15"/>
        <v>5.7006635777878678E-4</v>
      </c>
      <c r="G18" s="1">
        <f t="shared" si="16"/>
        <v>2.5322133375926401</v>
      </c>
      <c r="H18" s="1">
        <f t="shared" si="17"/>
        <v>-4.2368280870341835E-6</v>
      </c>
      <c r="I18" s="1">
        <f>ABS((Tabla147[[#This Row],[Columna2]]-G17)/Tabla147[[#This Row],[Columna2]])*100</f>
        <v>4.202093061258236E-3</v>
      </c>
    </row>
    <row r="21" spans="2:9" x14ac:dyDescent="0.25">
      <c r="B21" t="s">
        <v>15</v>
      </c>
      <c r="C21" s="1" t="s">
        <v>6</v>
      </c>
      <c r="D21" s="1" t="s">
        <v>7</v>
      </c>
      <c r="E21" s="1" t="s">
        <v>8</v>
      </c>
      <c r="F21" s="1" t="s">
        <v>9</v>
      </c>
      <c r="G21" s="1" t="s">
        <v>16</v>
      </c>
      <c r="H21" s="1" t="s">
        <v>17</v>
      </c>
      <c r="I21" s="1" t="s">
        <v>20</v>
      </c>
    </row>
    <row r="22" spans="2:9" x14ac:dyDescent="0.25">
      <c r="B22" t="s">
        <v>21</v>
      </c>
      <c r="C22" s="1" t="s">
        <v>0</v>
      </c>
      <c r="D22" s="1" t="s">
        <v>1</v>
      </c>
      <c r="E22" s="1" t="s">
        <v>2</v>
      </c>
      <c r="F22" s="1" t="s">
        <v>3</v>
      </c>
      <c r="G22" s="1" t="s">
        <v>4</v>
      </c>
      <c r="H22" s="1" t="s">
        <v>5</v>
      </c>
      <c r="I22" s="3" t="s">
        <v>19</v>
      </c>
    </row>
    <row r="23" spans="2:9" x14ac:dyDescent="0.25">
      <c r="B23" t="s">
        <v>10</v>
      </c>
      <c r="C23" s="2">
        <v>1.5</v>
      </c>
      <c r="D23" s="2">
        <v>2.25</v>
      </c>
      <c r="E23" s="2">
        <f>SIN(C23)+COS(1+C23^2)-1</f>
        <v>-0.99663468947649181</v>
      </c>
      <c r="F23" s="2">
        <f>SIN(D23)+COS(1+D23^2)-1</f>
        <v>0.75382086273961324</v>
      </c>
      <c r="G23" s="2">
        <f>D23-((F23*(C23-D23))/(E23-F23))</f>
        <v>1.9270179932081406</v>
      </c>
      <c r="H23" s="2">
        <f>SIN(G23)+COS(1+G23^2)-1</f>
        <v>-6.1769484661943208E-2</v>
      </c>
      <c r="I23" s="1" t="s">
        <v>22</v>
      </c>
    </row>
    <row r="24" spans="2:9" x14ac:dyDescent="0.25">
      <c r="B24" t="s">
        <v>11</v>
      </c>
      <c r="C24" s="1">
        <f>D23</f>
        <v>2.25</v>
      </c>
      <c r="D24" s="1">
        <f>G23</f>
        <v>1.9270179932081406</v>
      </c>
      <c r="E24" s="1">
        <f>F23</f>
        <v>0.75382086273961324</v>
      </c>
      <c r="F24" s="1">
        <f>H23</f>
        <v>-6.1769484661943208E-2</v>
      </c>
      <c r="G24" s="1">
        <f>D24-((F24*(C24-D24))/(E24-F24))</f>
        <v>1.9514793323818751</v>
      </c>
      <c r="H24" s="1">
        <f>SIN(G24)+COS(1+G24^2)-1</f>
        <v>2.4146834379239035E-2</v>
      </c>
      <c r="I24" s="1">
        <f>ABS((Tabla148[[#This Row],[Columna2]]-G23)/Tabla148[[#This Row],[Columna2]])*100</f>
        <v>1.2534767223938901</v>
      </c>
    </row>
    <row r="25" spans="2:9" x14ac:dyDescent="0.25">
      <c r="B25" t="s">
        <v>12</v>
      </c>
      <c r="C25" s="1">
        <f t="shared" ref="C25:C27" si="18">D24</f>
        <v>1.9270179932081406</v>
      </c>
      <c r="D25" s="1">
        <f t="shared" ref="D25:D27" si="19">G24</f>
        <v>1.9514793323818751</v>
      </c>
      <c r="E25" s="1">
        <f t="shared" ref="E25:E27" si="20">F24</f>
        <v>-6.1769484661943208E-2</v>
      </c>
      <c r="F25" s="1">
        <f t="shared" ref="F25:F27" si="21">H24</f>
        <v>2.4146834379239035E-2</v>
      </c>
      <c r="G25" s="1">
        <f t="shared" ref="G25:G27" si="22">D25-((F25*(C25-D25))/(E25-F25))</f>
        <v>1.9446044579422539</v>
      </c>
      <c r="H25" s="1">
        <f t="shared" ref="H25:H27" si="23">SIN(G25)+COS(1+G25^2)-1</f>
        <v>-1.3943668802030018E-5</v>
      </c>
      <c r="I25" s="1">
        <f>ABS((Tabla148[[#This Row],[Columna2]]-G24)/Tabla148[[#This Row],[Columna2]])*100</f>
        <v>0.35353587777413997</v>
      </c>
    </row>
    <row r="26" spans="2:9" x14ac:dyDescent="0.25">
      <c r="B26" t="s">
        <v>13</v>
      </c>
      <c r="C26" s="1">
        <f t="shared" si="18"/>
        <v>1.9514793323818751</v>
      </c>
      <c r="D26" s="1">
        <f t="shared" si="19"/>
        <v>1.9446044579422539</v>
      </c>
      <c r="E26" s="1">
        <f t="shared" si="20"/>
        <v>2.4146834379239035E-2</v>
      </c>
      <c r="F26" s="1">
        <f t="shared" si="21"/>
        <v>-1.3943668802030018E-5</v>
      </c>
      <c r="G26" s="1">
        <f t="shared" si="22"/>
        <v>1.9446084255699541</v>
      </c>
      <c r="H26" s="1">
        <f t="shared" si="23"/>
        <v>1.6100651922812403E-9</v>
      </c>
      <c r="I26" s="1">
        <f>ABS((Tabla148[[#This Row],[Columna2]]-G25)/Tabla148[[#This Row],[Columna2]])*100</f>
        <v>2.0403221790013301E-4</v>
      </c>
    </row>
    <row r="27" spans="2:9" x14ac:dyDescent="0.25">
      <c r="B27" t="s">
        <v>14</v>
      </c>
      <c r="C27" s="1">
        <f t="shared" si="18"/>
        <v>1.9446044579422539</v>
      </c>
      <c r="D27" s="1">
        <f t="shared" si="19"/>
        <v>1.9446084255699541</v>
      </c>
      <c r="E27" s="1">
        <f t="shared" si="20"/>
        <v>-1.3943668802030018E-5</v>
      </c>
      <c r="F27" s="1">
        <f t="shared" si="21"/>
        <v>1.6100651922812403E-9</v>
      </c>
      <c r="G27" s="1">
        <f t="shared" si="22"/>
        <v>1.9446084251118678</v>
      </c>
      <c r="H27" s="1">
        <f t="shared" si="23"/>
        <v>0</v>
      </c>
      <c r="I27" s="1">
        <f>ABS((Tabla148[[#This Row],[Columna2]]-G26)/Tabla148[[#This Row],[Columna2]])*100</f>
        <v>2.3556734080506179E-8</v>
      </c>
    </row>
    <row r="30" spans="2:9" x14ac:dyDescent="0.25">
      <c r="B30" t="s">
        <v>15</v>
      </c>
      <c r="C30" s="1" t="s">
        <v>6</v>
      </c>
      <c r="D30" s="1" t="s">
        <v>7</v>
      </c>
      <c r="E30" s="1" t="s">
        <v>8</v>
      </c>
      <c r="F30" s="1" t="s">
        <v>9</v>
      </c>
      <c r="G30" s="1" t="s">
        <v>16</v>
      </c>
      <c r="H30" s="1" t="s">
        <v>17</v>
      </c>
      <c r="I30" s="1" t="s">
        <v>20</v>
      </c>
    </row>
    <row r="31" spans="2:9" x14ac:dyDescent="0.25">
      <c r="B31" t="s">
        <v>21</v>
      </c>
      <c r="C31" s="1" t="s">
        <v>0</v>
      </c>
      <c r="D31" s="1" t="s">
        <v>1</v>
      </c>
      <c r="E31" s="1" t="s">
        <v>2</v>
      </c>
      <c r="F31" s="1" t="s">
        <v>3</v>
      </c>
      <c r="G31" s="1" t="s">
        <v>4</v>
      </c>
      <c r="H31" s="1" t="s">
        <v>5</v>
      </c>
      <c r="I31" s="3" t="s">
        <v>19</v>
      </c>
    </row>
    <row r="32" spans="2:9" x14ac:dyDescent="0.25">
      <c r="B32" t="s">
        <v>10</v>
      </c>
      <c r="C32" s="2">
        <v>1</v>
      </c>
      <c r="D32" s="2">
        <v>2</v>
      </c>
      <c r="E32" s="2">
        <f>C32^3 - 2*SIN(C32) - 3</f>
        <v>-3.682941969615793</v>
      </c>
      <c r="F32" s="2">
        <f>Tabla14893[[#This Row],[B]]^3 - 2*SIN(Tabla14893[[#This Row],[B]]) - 3</f>
        <v>3.1814051463486361</v>
      </c>
      <c r="G32" s="2">
        <f>D32-((F32*(C32-D32))/(E32-F32))</f>
        <v>1.5365320120613315</v>
      </c>
      <c r="H32" s="2">
        <f>SIN(G32)+COS(1+G32^2)-1</f>
        <v>-0.97662867411070176</v>
      </c>
      <c r="I32" s="1" t="s">
        <v>22</v>
      </c>
    </row>
    <row r="33" spans="2:9" x14ac:dyDescent="0.25">
      <c r="B33" t="s">
        <v>11</v>
      </c>
      <c r="C33" s="1">
        <f>D32</f>
        <v>2</v>
      </c>
      <c r="D33" s="1">
        <f>G32</f>
        <v>1.5365320120613315</v>
      </c>
      <c r="E33" s="1">
        <f>F32</f>
        <v>3.1814051463486361</v>
      </c>
      <c r="F33" s="1">
        <f>H32</f>
        <v>-0.97662867411070176</v>
      </c>
      <c r="G33" s="1">
        <f>D33-((F33*(C33-D33))/(E33-F33))</f>
        <v>1.6453902239224591</v>
      </c>
      <c r="H33" s="1">
        <f>SIN(G33)+COS(1+G33^2)-1</f>
        <v>-0.84698568141155506</v>
      </c>
      <c r="I33" s="1">
        <f>ABS((Tabla14893[[#This Row],[Columna2]]-G32)/Tabla14893[[#This Row],[Columna2]])*100</f>
        <v>6.6159510539463202</v>
      </c>
    </row>
    <row r="34" spans="2:9" x14ac:dyDescent="0.25">
      <c r="B34" t="s">
        <v>12</v>
      </c>
      <c r="C34" s="1">
        <f t="shared" ref="C34:C36" si="24">D33</f>
        <v>1.5365320120613315</v>
      </c>
      <c r="D34" s="1">
        <f t="shared" ref="D34:D36" si="25">G33</f>
        <v>1.6453902239224591</v>
      </c>
      <c r="E34" s="1">
        <f t="shared" ref="E34:E36" si="26">F33</f>
        <v>-0.97662867411070176</v>
      </c>
      <c r="F34" s="1">
        <f t="shared" ref="F34:F36" si="27">H33</f>
        <v>-0.84698568141155506</v>
      </c>
      <c r="G34" s="1">
        <f t="shared" ref="G34:G36" si="28">D34-((F34*(C34-D34))/(E34-F34))</f>
        <v>2.3565844414487835</v>
      </c>
      <c r="H34" s="1">
        <f t="shared" ref="H34:H36" si="29">SIN(G34)+COS(1+G34^2)-1</f>
        <v>0.67052050940007568</v>
      </c>
      <c r="I34" s="1">
        <f>ABS((Tabla14893[[#This Row],[Columna2]]-G33)/Tabla14893[[#This Row],[Columna2]])*100</f>
        <v>30.179025415660288</v>
      </c>
    </row>
    <row r="35" spans="2:9" x14ac:dyDescent="0.25">
      <c r="B35" t="s">
        <v>13</v>
      </c>
      <c r="C35" s="1">
        <f t="shared" si="24"/>
        <v>1.6453902239224591</v>
      </c>
      <c r="D35" s="1">
        <f t="shared" si="25"/>
        <v>2.3565844414487835</v>
      </c>
      <c r="E35" s="1">
        <f t="shared" si="26"/>
        <v>-0.84698568141155506</v>
      </c>
      <c r="F35" s="1">
        <f t="shared" si="27"/>
        <v>0.67052050940007568</v>
      </c>
      <c r="G35" s="1">
        <f t="shared" si="28"/>
        <v>2.0423384028457465</v>
      </c>
      <c r="H35" s="1">
        <f t="shared" si="29"/>
        <v>0.33370296797746013</v>
      </c>
      <c r="I35" s="1">
        <f>ABS((Tabla14893[[#This Row],[Columna2]]-G34)/Tabla14893[[#This Row],[Columna2]])*100</f>
        <v>15.386580312311315</v>
      </c>
    </row>
    <row r="36" spans="2:9" x14ac:dyDescent="0.25">
      <c r="B36" t="s">
        <v>14</v>
      </c>
      <c r="C36" s="1">
        <f t="shared" si="24"/>
        <v>2.3565844414487835</v>
      </c>
      <c r="D36" s="1">
        <f t="shared" si="25"/>
        <v>2.0423384028457465</v>
      </c>
      <c r="E36" s="1">
        <f t="shared" si="26"/>
        <v>0.67052050940007568</v>
      </c>
      <c r="F36" s="1">
        <f t="shared" si="27"/>
        <v>0.33370296797746013</v>
      </c>
      <c r="G36" s="1">
        <f t="shared" si="28"/>
        <v>1.730998217551134</v>
      </c>
      <c r="H36" s="1">
        <f t="shared" si="29"/>
        <v>-0.6692028481900425</v>
      </c>
      <c r="I36" s="1">
        <f>ABS((Tabla14893[[#This Row],[Columna2]]-G35)/Tabla14893[[#This Row],[Columna2]])*100</f>
        <v>17.986164407209472</v>
      </c>
    </row>
  </sheetData>
  <phoneticPr fontId="3" type="noConversion"/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David Rodriguez Gonzalez</dc:creator>
  <cp:lastModifiedBy>Angel David Rodriguez Gonzalez</cp:lastModifiedBy>
  <dcterms:created xsi:type="dcterms:W3CDTF">2026-03-13T03:44:51Z</dcterms:created>
  <dcterms:modified xsi:type="dcterms:W3CDTF">2026-03-15T21:31:58Z</dcterms:modified>
</cp:coreProperties>
</file>