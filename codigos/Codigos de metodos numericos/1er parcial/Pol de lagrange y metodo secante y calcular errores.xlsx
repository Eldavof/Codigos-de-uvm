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Codigos de metodos numericos\1er parcial\"/>
    </mc:Choice>
  </mc:AlternateContent>
  <xr:revisionPtr revIDLastSave="0" documentId="13_ncr:1_{3D785C51-AB0D-4B7B-BCA6-9B430E64ABF0}" xr6:coauthVersionLast="47" xr6:coauthVersionMax="47" xr10:uidLastSave="{00000000-0000-0000-0000-000000000000}"/>
  <bookViews>
    <workbookView xWindow="21045" yWindow="990" windowWidth="24375" windowHeight="17445" activeTab="3" xr2:uid="{F3B9A3C5-D233-40E9-8C2A-140A8F9AC580}"/>
  </bookViews>
  <sheets>
    <sheet name="Polinomios de lagrange" sheetId="1" r:id="rId1"/>
    <sheet name="Secante" sheetId="2" r:id="rId2"/>
    <sheet name="Tipos de errores" sheetId="4" r:id="rId3"/>
    <sheet name="Metodo del punto fijo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5" l="1"/>
  <c r="F5" i="5"/>
  <c r="E6" i="5" s="1"/>
  <c r="N6" i="5"/>
  <c r="L6" i="5"/>
  <c r="K6" i="5"/>
  <c r="E5" i="4"/>
  <c r="F5" i="4"/>
  <c r="G5" i="4"/>
  <c r="G4" i="4"/>
  <c r="F4" i="4"/>
  <c r="E4" i="4"/>
  <c r="S6" i="2"/>
  <c r="R6" i="2"/>
  <c r="G6" i="2"/>
  <c r="E34" i="2"/>
  <c r="H33" i="2"/>
  <c r="G34" i="2" s="1"/>
  <c r="G33" i="2"/>
  <c r="E25" i="2"/>
  <c r="H24" i="2"/>
  <c r="I24" i="2" s="1"/>
  <c r="G24" i="2"/>
  <c r="E16" i="2"/>
  <c r="H15" i="2"/>
  <c r="G16" i="2" s="1"/>
  <c r="G15" i="2"/>
  <c r="P7" i="2"/>
  <c r="E7" i="2"/>
  <c r="H6" i="2"/>
  <c r="I6" i="2" s="1"/>
  <c r="G6" i="5" l="1"/>
  <c r="F6" i="5"/>
  <c r="T6" i="2"/>
  <c r="J6" i="2"/>
  <c r="H7" i="2" s="1"/>
  <c r="G8" i="2" s="1"/>
  <c r="F7" i="2"/>
  <c r="Q7" i="2"/>
  <c r="U6" i="2"/>
  <c r="S7" i="2" s="1"/>
  <c r="R8" i="2" s="1"/>
  <c r="J24" i="2"/>
  <c r="H25" i="2" s="1"/>
  <c r="G26" i="2" s="1"/>
  <c r="F25" i="2"/>
  <c r="R7" i="2"/>
  <c r="I15" i="2"/>
  <c r="G25" i="2"/>
  <c r="G7" i="2"/>
  <c r="I33" i="2"/>
  <c r="E26" i="2" l="1"/>
  <c r="I25" i="2"/>
  <c r="T7" i="2"/>
  <c r="P8" i="2"/>
  <c r="F16" i="2"/>
  <c r="J15" i="2"/>
  <c r="H16" i="2" s="1"/>
  <c r="G17" i="2" s="1"/>
  <c r="E8" i="2"/>
  <c r="I7" i="2"/>
  <c r="F34" i="2"/>
  <c r="J33" i="2"/>
  <c r="H34" i="2" s="1"/>
  <c r="G35" i="2" s="1"/>
  <c r="J7" i="2" l="1"/>
  <c r="H8" i="2" s="1"/>
  <c r="G9" i="2" s="1"/>
  <c r="F8" i="2"/>
  <c r="K7" i="2"/>
  <c r="E35" i="2"/>
  <c r="I34" i="2"/>
  <c r="E17" i="2"/>
  <c r="I16" i="2"/>
  <c r="U7" i="2"/>
  <c r="S8" i="2" s="1"/>
  <c r="R9" i="2" s="1"/>
  <c r="Q8" i="2"/>
  <c r="V7" i="2"/>
  <c r="F26" i="2"/>
  <c r="J25" i="2"/>
  <c r="H26" i="2" s="1"/>
  <c r="G27" i="2" s="1"/>
  <c r="K25" i="2"/>
  <c r="J16" i="2" l="1"/>
  <c r="H17" i="2" s="1"/>
  <c r="G18" i="2" s="1"/>
  <c r="F17" i="2"/>
  <c r="K16" i="2"/>
  <c r="I8" i="2"/>
  <c r="E9" i="2"/>
  <c r="T8" i="2"/>
  <c r="P9" i="2"/>
  <c r="F35" i="2"/>
  <c r="J34" i="2"/>
  <c r="H35" i="2" s="1"/>
  <c r="G36" i="2" s="1"/>
  <c r="K34" i="2"/>
  <c r="I26" i="2"/>
  <c r="E27" i="2"/>
  <c r="E18" i="2" l="1"/>
  <c r="I17" i="2"/>
  <c r="E36" i="2"/>
  <c r="I35" i="2"/>
  <c r="U8" i="2"/>
  <c r="S9" i="2" s="1"/>
  <c r="R10" i="2" s="1"/>
  <c r="Q9" i="2"/>
  <c r="V8" i="2"/>
  <c r="J8" i="2"/>
  <c r="H9" i="2" s="1"/>
  <c r="G10" i="2" s="1"/>
  <c r="F9" i="2"/>
  <c r="K8" i="2"/>
  <c r="F27" i="2"/>
  <c r="J26" i="2"/>
  <c r="H27" i="2" s="1"/>
  <c r="G28" i="2" s="1"/>
  <c r="K26" i="2"/>
  <c r="T9" i="2" l="1"/>
  <c r="P10" i="2"/>
  <c r="E10" i="2"/>
  <c r="I9" i="2"/>
  <c r="F18" i="2"/>
  <c r="J17" i="2"/>
  <c r="H18" i="2" s="1"/>
  <c r="G19" i="2" s="1"/>
  <c r="K17" i="2"/>
  <c r="F36" i="2"/>
  <c r="J35" i="2"/>
  <c r="H36" i="2" s="1"/>
  <c r="G37" i="2" s="1"/>
  <c r="K35" i="2"/>
  <c r="E28" i="2"/>
  <c r="I27" i="2"/>
  <c r="F28" i="2" l="1"/>
  <c r="J27" i="2"/>
  <c r="H28" i="2" s="1"/>
  <c r="K27" i="2"/>
  <c r="E37" i="2"/>
  <c r="I36" i="2"/>
  <c r="I18" i="2"/>
  <c r="E19" i="2"/>
  <c r="F10" i="2"/>
  <c r="J9" i="2"/>
  <c r="H10" i="2" s="1"/>
  <c r="K9" i="2"/>
  <c r="Q10" i="2"/>
  <c r="U9" i="2"/>
  <c r="S10" i="2" s="1"/>
  <c r="V9" i="2"/>
  <c r="F37" i="2" l="1"/>
  <c r="J36" i="2"/>
  <c r="H37" i="2" s="1"/>
  <c r="K36" i="2"/>
  <c r="J18" i="2"/>
  <c r="H19" i="2" s="1"/>
  <c r="F19" i="2"/>
  <c r="K18" i="2"/>
  <c r="T10" i="2"/>
  <c r="I10" i="2"/>
  <c r="I28" i="2"/>
  <c r="J28" i="2" l="1"/>
  <c r="K28" i="2"/>
  <c r="J10" i="2"/>
  <c r="K10" i="2"/>
  <c r="I19" i="2"/>
  <c r="I37" i="2"/>
  <c r="U10" i="2"/>
  <c r="V10" i="2"/>
  <c r="J37" i="2" l="1"/>
  <c r="K37" i="2"/>
  <c r="J19" i="2"/>
  <c r="K19" i="2"/>
  <c r="I3" i="1" l="1"/>
  <c r="H9" i="1"/>
  <c r="E21" i="1"/>
  <c r="F15" i="1"/>
</calcChain>
</file>

<file path=xl/sharedStrings.xml><?xml version="1.0" encoding="utf-8"?>
<sst xmlns="http://schemas.openxmlformats.org/spreadsheetml/2006/main" count="192" uniqueCount="61">
  <si>
    <t>x0</t>
  </si>
  <si>
    <t>x1</t>
  </si>
  <si>
    <t>x2</t>
  </si>
  <si>
    <t>x3</t>
  </si>
  <si>
    <t>x4</t>
  </si>
  <si>
    <t>fx0</t>
  </si>
  <si>
    <t>fx4</t>
  </si>
  <si>
    <t>fx3</t>
  </si>
  <si>
    <t>fx2</t>
  </si>
  <si>
    <t>fx1</t>
  </si>
  <si>
    <t xml:space="preserve">evaluar a </t>
  </si>
  <si>
    <t>cuando</t>
  </si>
  <si>
    <t>n = 4</t>
  </si>
  <si>
    <t>n = 3</t>
  </si>
  <si>
    <t>Columna1</t>
  </si>
  <si>
    <t>n = 2</t>
  </si>
  <si>
    <t>n = 1</t>
  </si>
  <si>
    <t>A</t>
  </si>
  <si>
    <t>B</t>
  </si>
  <si>
    <t>C</t>
  </si>
  <si>
    <t>D</t>
  </si>
  <si>
    <t>Columna2</t>
  </si>
  <si>
    <t>Columna3</t>
  </si>
  <si>
    <t>Columna4</t>
  </si>
  <si>
    <t>Metodo secante</t>
  </si>
  <si>
    <t>Iteraciones</t>
  </si>
  <si>
    <t>xi - 1</t>
  </si>
  <si>
    <t>xi</t>
  </si>
  <si>
    <t xml:space="preserve">f(xi - 1) </t>
  </si>
  <si>
    <t>f(xi)</t>
  </si>
  <si>
    <t>xi + 1</t>
  </si>
  <si>
    <t>f(xi + 1)</t>
  </si>
  <si>
    <t>E%</t>
  </si>
  <si>
    <t>1.ra</t>
  </si>
  <si>
    <t>Sin valor</t>
  </si>
  <si>
    <t>2.da</t>
  </si>
  <si>
    <t>3.ra</t>
  </si>
  <si>
    <t>4.ta</t>
  </si>
  <si>
    <t>5.ta</t>
  </si>
  <si>
    <t>Tipo de Número</t>
  </si>
  <si>
    <t>Valor Real (Vr​)</t>
  </si>
  <si>
    <t>Valor Medido (Vm​)</t>
  </si>
  <si>
    <t>Error Absoluto (Ea​)</t>
  </si>
  <si>
    <t>Error Relativo (Er​)</t>
  </si>
  <si>
    <t>Error Porcentual (Ep​)</t>
  </si>
  <si>
    <t>Números Grandes</t>
  </si>
  <si>
    <t>Números Chicos</t>
  </si>
  <si>
    <t>Celda</t>
  </si>
  <si>
    <t>Columna A (Iteración)</t>
  </si>
  <si>
    <t>Columna B (xi​)</t>
  </si>
  <si>
    <t>Columna C (g(xi​))</t>
  </si>
  <si>
    <t>Columna D (Error%)</t>
  </si>
  <si>
    <t>Fila 1</t>
  </si>
  <si>
    <t>i</t>
  </si>
  <si>
    <t>g(xi)</t>
  </si>
  <si>
    <t>Error aprox (%)</t>
  </si>
  <si>
    <t>Fila 2</t>
  </si>
  <si>
    <t>(Escribe tu valor inicial aquí)</t>
  </si>
  <si>
    <t>(Fórmula de tu función)</t>
  </si>
  <si>
    <t>-</t>
  </si>
  <si>
    <t>Fila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</si>
</sst>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0.0000"/>
  </numFmts>
  <fonts count="9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6" tint="-0.249977111117893"/>
        <bgColor theme="6" tint="-0.249977111117893"/>
      </patternFill>
    </fill>
    <fill>
      <patternFill patternType="solid">
        <fgColor theme="6"/>
        <bgColor theme="6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/>
    <xf numFmtId="0" fontId="2" fillId="3" borderId="0" xfId="0" applyFont="1" applyFill="1"/>
    <xf numFmtId="0" fontId="2" fillId="4" borderId="0" xfId="0" applyFont="1" applyFill="1"/>
    <xf numFmtId="164" fontId="0" fillId="0" borderId="0" xfId="0" applyNumberFormat="1"/>
    <xf numFmtId="164" fontId="0" fillId="0" borderId="0" xfId="1" applyNumberFormat="1" applyFont="1"/>
    <xf numFmtId="164" fontId="4" fillId="0" borderId="0" xfId="0" applyNumberFormat="1" applyFont="1"/>
    <xf numFmtId="0" fontId="6" fillId="0" borderId="2" xfId="0" applyFont="1" applyBorder="1" applyAlignment="1">
      <alignment horizontal="left" vertical="center" wrapText="1" indent="1" readingOrder="1"/>
    </xf>
    <xf numFmtId="0" fontId="6" fillId="0" borderId="2" xfId="0" applyFont="1" applyBorder="1" applyAlignment="1">
      <alignment vertical="center" wrapText="1" readingOrder="1"/>
    </xf>
    <xf numFmtId="3" fontId="5" fillId="0" borderId="2" xfId="0" applyNumberFormat="1" applyFont="1" applyBorder="1" applyAlignment="1">
      <alignment horizontal="left" vertical="center" wrapText="1" indent="1" readingOrder="1"/>
    </xf>
    <xf numFmtId="0" fontId="5" fillId="0" borderId="2" xfId="0" applyFont="1" applyBorder="1" applyAlignment="1">
      <alignment horizontal="left" vertical="center" wrapText="1" indent="1" readingOrder="1"/>
    </xf>
    <xf numFmtId="10" fontId="5" fillId="0" borderId="2" xfId="0" applyNumberFormat="1" applyFont="1" applyBorder="1" applyAlignment="1">
      <alignment vertical="center" wrapText="1" readingOrder="1"/>
    </xf>
    <xf numFmtId="0" fontId="5" fillId="0" borderId="2" xfId="0" applyFont="1" applyBorder="1" applyAlignment="1">
      <alignment vertical="center" wrapText="1" readingOrder="1"/>
    </xf>
    <xf numFmtId="0" fontId="7" fillId="0" borderId="2" xfId="0" applyFont="1" applyBorder="1" applyAlignment="1">
      <alignment horizontal="left" vertical="center" wrapText="1" indent="1" readingOrder="1"/>
    </xf>
    <xf numFmtId="0" fontId="7" fillId="0" borderId="2" xfId="0" applyFont="1" applyBorder="1" applyAlignment="1">
      <alignment vertical="center" wrapText="1" readingOrder="1"/>
    </xf>
    <xf numFmtId="0" fontId="5" fillId="5" borderId="2" xfId="0" applyFont="1" applyFill="1" applyBorder="1" applyAlignment="1">
      <alignment horizontal="left" vertical="center" wrapText="1" indent="1" readingOrder="1"/>
    </xf>
  </cellXfs>
  <cellStyles count="2">
    <cellStyle name="Moneda" xfId="1" builtinId="4"/>
    <cellStyle name="Normal" xfId="0" builtinId="0"/>
  </cellStyles>
  <dxfs count="40"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07128C-64D4-4819-AF12-3FBE0304DD2C}" name="Tabla1" displayName="Tabla1" ref="B8:F11" totalsRowShown="0">
  <autoFilter ref="B8:F11" xr:uid="{2E07128C-64D4-4819-AF12-3FBE0304DD2C}"/>
  <tableColumns count="5">
    <tableColumn id="1" xr3:uid="{F096334A-A001-46AC-AFC0-17147ACDA827}" name="x0"/>
    <tableColumn id="2" xr3:uid="{480C95FB-A8FC-4350-A891-286405AE99D3}" name="x1"/>
    <tableColumn id="3" xr3:uid="{1212B2C7-310C-4069-B1D3-B46D7A96C201}" name="x2"/>
    <tableColumn id="4" xr3:uid="{9EC280F7-1AE5-42BC-BA8F-6CE409B29705}" name="x3"/>
    <tableColumn id="5" xr3:uid="{AA8E9EFC-2C68-4A45-B7C5-6C2C40707219}" name="evaluar a "/>
  </tableColumns>
  <tableStyleInfo name="TableStyleDark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4EC82E-7120-49A0-8F0C-971D1B5DAD5E}" name="Tabla2" displayName="Tabla2" ref="B2:G5" totalsRowShown="0">
  <autoFilter ref="B2:G5" xr:uid="{E04EC82E-7120-49A0-8F0C-971D1B5DAD5E}"/>
  <tableColumns count="6">
    <tableColumn id="1" xr3:uid="{87E232A5-5983-437D-A527-34126B970826}" name="x0"/>
    <tableColumn id="2" xr3:uid="{39524388-0BAD-43BA-A31E-ADEE7CF2DDFB}" name="x1"/>
    <tableColumn id="3" xr3:uid="{8990CFCF-6A10-4403-A1C2-1281777CE31C}" name="x2"/>
    <tableColumn id="4" xr3:uid="{C7C09584-A10D-43AC-AE29-BA9B056164A6}" name="x3"/>
    <tableColumn id="5" xr3:uid="{FEAB9A8F-B13D-46AC-99BB-60EA4ADA6E5F}" name="x4"/>
    <tableColumn id="6" xr3:uid="{EB99377A-9B0B-4A1C-AF4D-6FB2136F0148}" name="evaluar a "/>
  </tableColumns>
  <tableStyleInfo name="TableStyleDark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814D94-060B-4961-919D-64E5C93C1EF5}" name="Tabla3" displayName="Tabla3" ref="A8:A10" totalsRowShown="0">
  <autoFilter ref="A8:A10" xr:uid="{1E814D94-060B-4961-919D-64E5C93C1EF5}"/>
  <tableColumns count="1">
    <tableColumn id="1" xr3:uid="{C6704A2A-8910-4185-9188-9527CAB18E79}" name="Columna1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57F0169-5B81-4FB3-BF85-E4CBEA19BCED}" name="Tabla4" displayName="Tabla4" ref="A2:A4" totalsRowShown="0">
  <autoFilter ref="A2:A4" xr:uid="{557F0169-5B81-4FB3-BF85-E4CBEA19BCED}"/>
  <tableColumns count="1">
    <tableColumn id="1" xr3:uid="{ED4EE87C-81E8-450F-9934-4AD06ED7BF37}" name="Columna1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39648CA-0594-40FD-84E2-DB4B2C1E66C0}" name="Tabla46" displayName="Tabla46" ref="A14:A16" totalsRowShown="0">
  <autoFilter ref="A14:A16" xr:uid="{139648CA-0594-40FD-84E2-DB4B2C1E66C0}"/>
  <tableColumns count="1">
    <tableColumn id="1" xr3:uid="{52D5B3AE-27BA-4E5D-85CA-609DBE3B07B1}" name="Columna1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DB8B049-5925-4B7A-8112-48E0139BCBBB}" name="Tabla467" displayName="Tabla467" ref="A20:A22" totalsRowShown="0">
  <autoFilter ref="A20:A22" xr:uid="{7DB8B049-5925-4B7A-8112-48E0139BCBBB}"/>
  <tableColumns count="1">
    <tableColumn id="1" xr3:uid="{4BB6C6E3-9908-4F31-87CA-95AACC012AAC}" name="Columna1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C3104BB-E595-4EA9-AEB2-8C0DBE77C5AB}" name="Tabla14" displayName="Tabla14" ref="D4:K10" totalsRowShown="0" headerRowDxfId="39">
  <autoFilter ref="D4:K10" xr:uid="{FC3104BB-E595-4EA9-AEB2-8C0DBE77C5AB}"/>
  <tableColumns count="8">
    <tableColumn id="1" xr3:uid="{27FD3FBB-07D6-4310-A037-3CD7C38EAC66}" name="Columna1"/>
    <tableColumn id="2" xr3:uid="{483118F4-AA09-43C8-B63A-47457F800D94}" name="A" dataDxfId="38">
      <calculatedColumnFormula>F4</calculatedColumnFormula>
    </tableColumn>
    <tableColumn id="3" xr3:uid="{B566F72B-E996-445F-8B5D-2FCEDD39FBFB}" name="B" dataDxfId="37">
      <calculatedColumnFormula>I4</calculatedColumnFormula>
    </tableColumn>
    <tableColumn id="4" xr3:uid="{46032566-C771-4BCD-A28A-8F20FB56E65B}" name="C" dataDxfId="36">
      <calculatedColumnFormula>H4</calculatedColumnFormula>
    </tableColumn>
    <tableColumn id="5" xr3:uid="{4DDE8F33-618F-4111-B10E-7F1B15C12368}" name="D" dataDxfId="35">
      <calculatedColumnFormula>J4</calculatedColumnFormula>
    </tableColumn>
    <tableColumn id="6" xr3:uid="{AF72CC23-E0C2-431E-8AE0-95CBA10B14D0}" name="Columna2" dataDxfId="34">
      <calculatedColumnFormula>F5-((H5*(E5-F5))/(G5-H5))</calculatedColumnFormula>
    </tableColumn>
    <tableColumn id="7" xr3:uid="{AD29E1AB-43C8-4855-8A23-7986872A26E5}" name="Columna3" dataDxfId="33">
      <calculatedColumnFormula>SIN(I5)+COS(1+I5^2)-1</calculatedColumnFormula>
    </tableColumn>
    <tableColumn id="8" xr3:uid="{E205BC7A-4BC4-485E-9FE9-F37B0B75CDCF}" name="Columna4" dataDxfId="32"/>
  </tableColumns>
  <tableStyleInfo name="TableStyleDark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6C4DD14-0351-4859-8FD6-0310B0A7F4A8}" name="Tabla147" displayName="Tabla147" ref="D13:K19" totalsRowShown="0" headerRowDxfId="31">
  <autoFilter ref="D13:K19" xr:uid="{E6C4DD14-0351-4859-8FD6-0310B0A7F4A8}"/>
  <tableColumns count="8">
    <tableColumn id="1" xr3:uid="{D3D21E29-09C1-402F-A6B8-CA10B5E362EE}" name="Columna1"/>
    <tableColumn id="2" xr3:uid="{2DCC16AF-6731-443E-8629-189A7915FDF8}" name="A" dataDxfId="30">
      <calculatedColumnFormula>F13</calculatedColumnFormula>
    </tableColumn>
    <tableColumn id="3" xr3:uid="{D9FF16E1-B17E-4C71-B4B3-48CBE9D869C5}" name="B" dataDxfId="29">
      <calculatedColumnFormula>I13</calculatedColumnFormula>
    </tableColumn>
    <tableColumn id="4" xr3:uid="{D05899C6-E505-4930-B1E2-03ED96CD90E6}" name="C" dataDxfId="28">
      <calculatedColumnFormula>H13</calculatedColumnFormula>
    </tableColumn>
    <tableColumn id="5" xr3:uid="{C68DEF56-040E-4A24-96D2-03AFA33F1100}" name="D" dataDxfId="27">
      <calculatedColumnFormula>J13</calculatedColumnFormula>
    </tableColumn>
    <tableColumn id="6" xr3:uid="{583A4521-9195-41BF-863D-25DA375A3A69}" name="Columna2" dataDxfId="26">
      <calculatedColumnFormula>F14-((H14*(E14-F14))/(G14-H14))</calculatedColumnFormula>
    </tableColumn>
    <tableColumn id="7" xr3:uid="{1AC2E25B-CE9F-4B6B-9504-AE4C5D657E97}" name="Columna3" dataDxfId="25">
      <calculatedColumnFormula>SIN(I14)+COS(1+I14^2)-1</calculatedColumnFormula>
    </tableColumn>
    <tableColumn id="8" xr3:uid="{2FCA44A9-E105-462D-87AA-01D13F991C02}" name="Columna4" dataDxfId="24"/>
  </tableColumns>
  <tableStyleInfo name="TableStyleDark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A82A243-4471-445A-857B-2A0B4EFD23C8}" name="Tabla148" displayName="Tabla148" ref="D22:K28" totalsRowShown="0" headerRowDxfId="23">
  <autoFilter ref="D22:K28" xr:uid="{1A82A243-4471-445A-857B-2A0B4EFD23C8}"/>
  <tableColumns count="8">
    <tableColumn id="1" xr3:uid="{691E669D-DA88-4B8E-BF18-56D97C5D4299}" name="Columna1"/>
    <tableColumn id="2" xr3:uid="{A5E0680B-3225-4575-AA5D-A2C7AADF87A6}" name="A" dataDxfId="22">
      <calculatedColumnFormula>F22</calculatedColumnFormula>
    </tableColumn>
    <tableColumn id="3" xr3:uid="{2C6DCD2F-9363-45E1-9E2A-C006151C4D77}" name="B" dataDxfId="21">
      <calculatedColumnFormula>I22</calculatedColumnFormula>
    </tableColumn>
    <tableColumn id="4" xr3:uid="{4530E9AB-78E3-4B9A-9356-6A5C41124771}" name="C" dataDxfId="20">
      <calculatedColumnFormula>H22</calculatedColumnFormula>
    </tableColumn>
    <tableColumn id="5" xr3:uid="{97F39FDF-991C-48E0-90C5-658A8F857273}" name="D" dataDxfId="19">
      <calculatedColumnFormula>J22</calculatedColumnFormula>
    </tableColumn>
    <tableColumn id="6" xr3:uid="{1BD20B4B-F95D-447B-BB85-BCA1764B16DC}" name="Columna2" dataDxfId="18">
      <calculatedColumnFormula>F23-((H23*(E23-F23))/(G23-H23))</calculatedColumnFormula>
    </tableColumn>
    <tableColumn id="7" xr3:uid="{FC1B3433-01B5-4A6B-846A-E9A49133DF91}" name="Columna3" dataDxfId="17">
      <calculatedColumnFormula>SIN(I23)+COS(1+I23^2)-1</calculatedColumnFormula>
    </tableColumn>
    <tableColumn id="8" xr3:uid="{2921BEB4-60F3-4187-A6C4-78C924C266B2}" name="Columna4" dataDxfId="16"/>
  </tableColumns>
  <tableStyleInfo name="TableStyleDark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80C6E23-9AEB-4F06-B5D3-B92D22C0F717}" name="Tabla1489" displayName="Tabla1489" ref="O4:V10" totalsRowShown="0" headerRowDxfId="15">
  <autoFilter ref="O4:V10" xr:uid="{980C6E23-9AEB-4F06-B5D3-B92D22C0F717}"/>
  <tableColumns count="8">
    <tableColumn id="1" xr3:uid="{2959ED41-3F5E-4F3B-9B3D-394E1A2612D1}" name="Columna1"/>
    <tableColumn id="2" xr3:uid="{FCF630E2-A87C-4A6F-BAF2-4AE9797D9276}" name="A" dataDxfId="14">
      <calculatedColumnFormula>Q4</calculatedColumnFormula>
    </tableColumn>
    <tableColumn id="3" xr3:uid="{3FF0C95E-B74A-417A-B527-C5B38DFA7B75}" name="B" dataDxfId="13">
      <calculatedColumnFormula>T4</calculatedColumnFormula>
    </tableColumn>
    <tableColumn id="4" xr3:uid="{0ED587C9-2E5D-4AEC-820D-FC2E0F8EF8D7}" name="C" dataDxfId="12">
      <calculatedColumnFormula>S4</calculatedColumnFormula>
    </tableColumn>
    <tableColumn id="5" xr3:uid="{A490C63E-A916-40A3-AF55-4C0FD46E128C}" name="D" dataDxfId="11">
      <calculatedColumnFormula>U4</calculatedColumnFormula>
    </tableColumn>
    <tableColumn id="6" xr3:uid="{736525B4-11F0-4BF6-9E61-597CD54A7CF4}" name="Columna2" dataDxfId="10">
      <calculatedColumnFormula>Q5-((S5*(P5-Q5))/(R5-S5))</calculatedColumnFormula>
    </tableColumn>
    <tableColumn id="7" xr3:uid="{99AE9817-92ED-4B82-AA4F-B692ADCE7487}" name="Columna3" dataDxfId="9">
      <calculatedColumnFormula>SIN(T5)+COS(1+T5^2)-1</calculatedColumnFormula>
    </tableColumn>
    <tableColumn id="8" xr3:uid="{28CA95CA-4FDA-49B8-8DA7-4E2A0FE73541}" name="Columna4" dataDxfId="8"/>
  </tableColumns>
  <tableStyleInfo name="TableStyleDark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CF61739-B311-4038-B501-15FEBDC725B8}" name="Tabla14893" displayName="Tabla14893" ref="D31:K37" totalsRowShown="0" headerRowDxfId="7">
  <autoFilter ref="D31:K37" xr:uid="{2CF61739-B311-4038-B501-15FEBDC725B8}"/>
  <tableColumns count="8">
    <tableColumn id="1" xr3:uid="{566C53CF-8275-48C9-8E55-3F6DFED09F51}" name="Columna1"/>
    <tableColumn id="2" xr3:uid="{27758AA5-D932-41A9-AA79-4CA79DE3BC77}" name="A" dataDxfId="6">
      <calculatedColumnFormula>F31</calculatedColumnFormula>
    </tableColumn>
    <tableColumn id="3" xr3:uid="{7A99A205-1801-4183-A5E3-B878B9F06794}" name="B" dataDxfId="5">
      <calculatedColumnFormula>I31</calculatedColumnFormula>
    </tableColumn>
    <tableColumn id="4" xr3:uid="{64572432-469F-4341-88D9-325EA482228C}" name="C" dataDxfId="4">
      <calculatedColumnFormula>H31</calculatedColumnFormula>
    </tableColumn>
    <tableColumn id="5" xr3:uid="{745E44F3-2767-4AEB-A509-7D64B78C0E84}" name="D" dataDxfId="3">
      <calculatedColumnFormula>J31</calculatedColumnFormula>
    </tableColumn>
    <tableColumn id="6" xr3:uid="{9D2435FB-793E-4849-B0B0-D63406F80A80}" name="Columna2" dataDxfId="2">
      <calculatedColumnFormula>F32-((H32*(E32-F32))/(G32-H32))</calculatedColumnFormula>
    </tableColumn>
    <tableColumn id="7" xr3:uid="{15892B4A-9394-44B5-B3E2-DFDDF07BB4AD}" name="Columna3" dataDxfId="1">
      <calculatedColumnFormula>SIN(I32)+COS(1+I32^2)-1</calculatedColumnFormula>
    </tableColumn>
    <tableColumn id="8" xr3:uid="{5FC0CAA9-0891-4CAF-A1DE-D36967346F6D}" name="Columna4" dataDxfId="0"/>
  </tableColumns>
  <tableStyleInfo name="TableStyleDark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61E5B-04DE-4857-8104-50BD0F766453}">
  <dimension ref="A2:I23"/>
  <sheetViews>
    <sheetView workbookViewId="0">
      <selection activeCell="F34" sqref="F34"/>
    </sheetView>
  </sheetViews>
  <sheetFormatPr baseColWidth="10" defaultRowHeight="15"/>
  <cols>
    <col min="1" max="1" width="12.28515625" customWidth="1"/>
  </cols>
  <sheetData>
    <row r="2" spans="1:9">
      <c r="A2" t="s">
        <v>14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10</v>
      </c>
    </row>
    <row r="3" spans="1:9">
      <c r="A3" t="s">
        <v>11</v>
      </c>
      <c r="B3">
        <v>1</v>
      </c>
      <c r="C3">
        <v>2</v>
      </c>
      <c r="D3">
        <v>3</v>
      </c>
      <c r="E3">
        <v>5</v>
      </c>
      <c r="F3">
        <v>7</v>
      </c>
      <c r="G3">
        <v>4</v>
      </c>
      <c r="I3">
        <f>((G3-C3)*(G3-D3)*(G3-E3)*(G3-F3))/((B3-C3)*(B3-D3)*(B3-E3)*(B3-F3))*B5 + ((G3-B3)*(G3-D3)*(G3-E3)*(G3-F3))/((C3-B3)*(C3-D3)*(C3-E3)*(C3-F3))*C5 + ((G3-B3)*(G3-C3)*(G3-E3)*(G3-F3))/((D3-B3)*(D3-C3)*(D3-E3)*(D3-F3))*D5 + ((G3-B3)*(G3-C3)*(G3-D3)*(G3-F3))/((E3-B3)*(E3-C3)*(E3-D3)*(E3-F3))*E5 + ((G3-B3)*(G3-C3)*(G3-D3)*(G3-E3))/((F3-B3)*(F3-C3)*(F3-D3)*(F3-E3))*F5</f>
        <v>48</v>
      </c>
    </row>
    <row r="4" spans="1:9">
      <c r="A4" t="s">
        <v>12</v>
      </c>
      <c r="B4" t="s">
        <v>5</v>
      </c>
      <c r="C4" t="s">
        <v>9</v>
      </c>
      <c r="D4" t="s">
        <v>8</v>
      </c>
      <c r="E4" t="s">
        <v>7</v>
      </c>
      <c r="F4" t="s">
        <v>6</v>
      </c>
    </row>
    <row r="5" spans="1:9">
      <c r="B5">
        <v>3</v>
      </c>
      <c r="C5">
        <v>6</v>
      </c>
      <c r="D5">
        <v>19</v>
      </c>
      <c r="E5">
        <v>99</v>
      </c>
      <c r="F5">
        <v>291</v>
      </c>
    </row>
    <row r="8" spans="1:9">
      <c r="A8" t="s">
        <v>14</v>
      </c>
      <c r="B8" t="s">
        <v>0</v>
      </c>
      <c r="C8" t="s">
        <v>1</v>
      </c>
      <c r="D8" t="s">
        <v>2</v>
      </c>
      <c r="E8" t="s">
        <v>3</v>
      </c>
      <c r="F8" t="s">
        <v>10</v>
      </c>
    </row>
    <row r="9" spans="1:9">
      <c r="A9" t="s">
        <v>11</v>
      </c>
      <c r="B9">
        <v>1</v>
      </c>
      <c r="C9">
        <v>2</v>
      </c>
      <c r="D9">
        <v>3</v>
      </c>
      <c r="E9">
        <v>5</v>
      </c>
      <c r="F9">
        <v>4</v>
      </c>
      <c r="H9">
        <f>((G9-C9)*(G9-D9)*(G9-E9))/((B9-C9)*(B9-D9)*(B9-E9))*B11 + ((G9-B9)*(G9-D9)*(G9-E9))/((C9-B9)*(C9-D9)*(C9-E9))*C11 + ((G9-B9)*(G9-C9)*(G9-E9))/((D9-B9)*(D9-C9)*(D9-E9))*D11 + ((G9-B9)*(G9-C9)*(G9-D9))/((E9-B9)*(E9-C9)*(E9-D9))*E11</f>
        <v>4</v>
      </c>
    </row>
    <row r="10" spans="1:9">
      <c r="A10" t="s">
        <v>13</v>
      </c>
      <c r="B10" t="s">
        <v>5</v>
      </c>
      <c r="C10" t="s">
        <v>9</v>
      </c>
      <c r="D10" t="s">
        <v>8</v>
      </c>
      <c r="E10" t="s">
        <v>7</v>
      </c>
    </row>
    <row r="11" spans="1:9">
      <c r="B11">
        <v>3</v>
      </c>
      <c r="C11">
        <v>6</v>
      </c>
      <c r="D11">
        <v>19</v>
      </c>
      <c r="E11">
        <v>99</v>
      </c>
    </row>
    <row r="14" spans="1:9" ht="15.75" thickBot="1">
      <c r="A14" t="s">
        <v>14</v>
      </c>
      <c r="B14" s="1" t="s">
        <v>0</v>
      </c>
      <c r="C14" s="1" t="s">
        <v>1</v>
      </c>
      <c r="D14" s="1" t="s">
        <v>2</v>
      </c>
      <c r="E14" s="1" t="s">
        <v>10</v>
      </c>
    </row>
    <row r="15" spans="1:9">
      <c r="A15" t="s">
        <v>11</v>
      </c>
      <c r="B15" s="2">
        <v>2</v>
      </c>
      <c r="C15" s="2">
        <v>3</v>
      </c>
      <c r="D15" s="2">
        <v>8</v>
      </c>
      <c r="E15" s="2">
        <v>4</v>
      </c>
      <c r="F15">
        <f>((E15-C15)*(E15-D15))/((B15-C15)*(B15-D15))*B17 + ((E15-B15)*(E15-D15))/((C15-B15)*(C15-D15))*C17 + ((E15-B15)*(E15-C15))/((D15-B15)*(D15-C15))*D17</f>
        <v>56</v>
      </c>
    </row>
    <row r="16" spans="1:9">
      <c r="A16" t="s">
        <v>15</v>
      </c>
      <c r="B16" s="3" t="s">
        <v>5</v>
      </c>
      <c r="C16" s="3" t="s">
        <v>9</v>
      </c>
      <c r="D16" s="3" t="s">
        <v>8</v>
      </c>
      <c r="E16" s="3"/>
    </row>
    <row r="17" spans="1:5">
      <c r="B17" s="2">
        <v>6</v>
      </c>
      <c r="C17" s="2">
        <v>19</v>
      </c>
      <c r="D17" s="2">
        <v>444</v>
      </c>
      <c r="E17" s="2"/>
    </row>
    <row r="20" spans="1:5" ht="15.75" thickBot="1">
      <c r="A20" t="s">
        <v>14</v>
      </c>
      <c r="B20" s="1" t="s">
        <v>0</v>
      </c>
      <c r="C20" s="1" t="s">
        <v>1</v>
      </c>
      <c r="D20" s="1" t="s">
        <v>10</v>
      </c>
    </row>
    <row r="21" spans="1:5">
      <c r="A21" t="s">
        <v>11</v>
      </c>
      <c r="B21" s="2">
        <v>2</v>
      </c>
      <c r="C21" s="2">
        <v>7</v>
      </c>
      <c r="D21" s="2">
        <v>4</v>
      </c>
      <c r="E21">
        <f>((D21-C21)/(B21-C21))*B23 + ((D21-B21)/(C21-B21))*C23</f>
        <v>120</v>
      </c>
    </row>
    <row r="22" spans="1:5">
      <c r="A22" t="s">
        <v>16</v>
      </c>
      <c r="B22" s="3" t="s">
        <v>5</v>
      </c>
      <c r="C22" s="3" t="s">
        <v>9</v>
      </c>
      <c r="D22" s="3"/>
    </row>
    <row r="23" spans="1:5">
      <c r="B23" s="2">
        <v>6</v>
      </c>
      <c r="C23" s="2">
        <v>291</v>
      </c>
      <c r="D23" s="2"/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9B686-F5C5-4F05-934C-0EEBB8C010A4}">
  <dimension ref="D4:V37"/>
  <sheetViews>
    <sheetView zoomScale="77" workbookViewId="0">
      <selection activeCell="U6" sqref="U6"/>
    </sheetView>
  </sheetViews>
  <sheetFormatPr baseColWidth="10" defaultRowHeight="15"/>
  <sheetData>
    <row r="4" spans="4:22">
      <c r="D4" t="s">
        <v>14</v>
      </c>
      <c r="E4" s="4" t="s">
        <v>17</v>
      </c>
      <c r="F4" s="4" t="s">
        <v>18</v>
      </c>
      <c r="G4" s="4" t="s">
        <v>19</v>
      </c>
      <c r="H4" s="4" t="s">
        <v>20</v>
      </c>
      <c r="I4" s="4" t="s">
        <v>21</v>
      </c>
      <c r="J4" s="4" t="s">
        <v>22</v>
      </c>
      <c r="K4" s="4" t="s">
        <v>23</v>
      </c>
      <c r="M4" t="s">
        <v>24</v>
      </c>
      <c r="O4" t="s">
        <v>14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</row>
    <row r="5" spans="4:22">
      <c r="D5" t="s">
        <v>25</v>
      </c>
      <c r="E5" s="4" t="s">
        <v>26</v>
      </c>
      <c r="F5" s="4" t="s">
        <v>27</v>
      </c>
      <c r="G5" s="4" t="s">
        <v>28</v>
      </c>
      <c r="H5" s="4" t="s">
        <v>29</v>
      </c>
      <c r="I5" s="4" t="s">
        <v>30</v>
      </c>
      <c r="J5" s="4" t="s">
        <v>31</v>
      </c>
      <c r="K5" s="5" t="s">
        <v>32</v>
      </c>
      <c r="O5" t="s">
        <v>25</v>
      </c>
      <c r="P5" s="4" t="s">
        <v>26</v>
      </c>
      <c r="Q5" s="4" t="s">
        <v>27</v>
      </c>
      <c r="R5" s="4" t="s">
        <v>28</v>
      </c>
      <c r="S5" s="4" t="s">
        <v>29</v>
      </c>
      <c r="T5" s="4" t="s">
        <v>30</v>
      </c>
      <c r="U5" s="4" t="s">
        <v>31</v>
      </c>
      <c r="V5" s="5" t="s">
        <v>32</v>
      </c>
    </row>
    <row r="6" spans="4:22">
      <c r="D6" t="s">
        <v>33</v>
      </c>
      <c r="E6" s="6">
        <v>1</v>
      </c>
      <c r="F6" s="6">
        <v>3</v>
      </c>
      <c r="G6" s="6">
        <f>SIN(E6)+COS(1+E6^2)-1</f>
        <v>-0.57467585173924585</v>
      </c>
      <c r="H6" s="6">
        <f>SIN(F6)+COS(1+F6^2)-1</f>
        <v>-1.6979515210165852</v>
      </c>
      <c r="I6" s="6">
        <f>F6-((H6*(E6-F6))/(G6-H6))</f>
        <v>-2.321427848421953E-2</v>
      </c>
      <c r="J6" s="6">
        <f>SIN(I6)+COS(1+I6^2)-1</f>
        <v>-0.48336343707408713</v>
      </c>
      <c r="K6" s="4" t="s">
        <v>34</v>
      </c>
      <c r="O6" t="s">
        <v>33</v>
      </c>
      <c r="P6" s="6">
        <v>2.5</v>
      </c>
      <c r="Q6" s="6">
        <v>3.6</v>
      </c>
      <c r="R6" s="6">
        <f>(P6)^3-6*(P6)^2+11*(P6)-6</f>
        <v>-0.375</v>
      </c>
      <c r="S6" s="6">
        <f>(Q6)^3-6*(Q6)^2+11*(Q6)-6</f>
        <v>2.4960000000000022</v>
      </c>
      <c r="T6" s="6">
        <f>Q6-((S6*(P6-Q6))/(R6-S6))</f>
        <v>2.6436781609195403</v>
      </c>
      <c r="U6" s="6">
        <f>SIN(T6)+COS(1+T6^2)-1</f>
        <v>-0.65704812444682936</v>
      </c>
      <c r="V6" s="4" t="s">
        <v>34</v>
      </c>
    </row>
    <row r="7" spans="4:22">
      <c r="D7" t="s">
        <v>35</v>
      </c>
      <c r="E7" s="4">
        <f>F6</f>
        <v>3</v>
      </c>
      <c r="F7" s="4">
        <f>I6</f>
        <v>-2.321427848421953E-2</v>
      </c>
      <c r="G7" s="4">
        <f>H6</f>
        <v>-1.6979515210165852</v>
      </c>
      <c r="H7" s="4">
        <f>J6</f>
        <v>-0.48336343707408713</v>
      </c>
      <c r="I7" s="4">
        <f>F7-((H7*(E7-F7))/(G7-H7))</f>
        <v>-1.226347475638796</v>
      </c>
      <c r="J7" s="4">
        <f>SIN(I7)+COS(1+I7^2)-1</f>
        <v>-2.744750011957847</v>
      </c>
      <c r="K7" s="4">
        <f>ABS((Tabla14[[#This Row],[Columna2]]-I6)/Tabla14[[#This Row],[Columna2]])*100</f>
        <v>98.107039077800735</v>
      </c>
      <c r="O7" t="s">
        <v>35</v>
      </c>
      <c r="P7" s="4">
        <f>Q6</f>
        <v>3.6</v>
      </c>
      <c r="Q7" s="4">
        <f>T6</f>
        <v>2.6436781609195403</v>
      </c>
      <c r="R7" s="4">
        <f>S6</f>
        <v>2.4960000000000022</v>
      </c>
      <c r="S7" s="4">
        <f>U6</f>
        <v>-0.65704812444682936</v>
      </c>
      <c r="T7" s="4">
        <f>Q7-((S7*(P7-Q7))/(R7-S7))</f>
        <v>2.842961345297069</v>
      </c>
      <c r="U7" s="4">
        <f>SIN(T7)+COS(1+T7^2)-1</f>
        <v>-1.6477564189197222</v>
      </c>
      <c r="V7" s="4">
        <f>ABS((Tabla1489[[#This Row],[Columna2]]-T6)/Tabla1489[[#This Row],[Columna2]])*100</f>
        <v>7.0097043249353437</v>
      </c>
    </row>
    <row r="8" spans="4:22">
      <c r="D8" t="s">
        <v>36</v>
      </c>
      <c r="E8" s="4">
        <f t="shared" ref="E8:E10" si="0">F7</f>
        <v>-2.321427848421953E-2</v>
      </c>
      <c r="F8" s="4">
        <f t="shared" ref="F8:F10" si="1">I7</f>
        <v>-1.226347475638796</v>
      </c>
      <c r="G8" s="4">
        <f t="shared" ref="G8:G10" si="2">H7</f>
        <v>-0.48336343707408713</v>
      </c>
      <c r="H8" s="4">
        <f t="shared" ref="H8:H10" si="3">J7</f>
        <v>-2.744750011957847</v>
      </c>
      <c r="I8" s="4">
        <f t="shared" ref="I8:I10" si="4">F8-((H8*(E8-F8))/(G8-H8))</f>
        <v>0.23395121630274063</v>
      </c>
      <c r="J8" s="4">
        <f t="shared" ref="J8:J10" si="5">SIN(I8)+COS(1+I8^2)-1</f>
        <v>-0.27471727281811131</v>
      </c>
      <c r="K8" s="4">
        <f>ABS((Tabla14[[#This Row],[Columna2]]-I7)/Tabla14[[#This Row],[Columna2]])*100</f>
        <v>624.18939940532812</v>
      </c>
      <c r="O8" t="s">
        <v>36</v>
      </c>
      <c r="P8" s="4">
        <f t="shared" ref="P8:P10" si="6">Q7</f>
        <v>2.6436781609195403</v>
      </c>
      <c r="Q8" s="4">
        <f t="shared" ref="Q8:Q10" si="7">T7</f>
        <v>2.842961345297069</v>
      </c>
      <c r="R8" s="4">
        <f t="shared" ref="R8:R10" si="8">S7</f>
        <v>-0.65704812444682936</v>
      </c>
      <c r="S8" s="4">
        <f t="shared" ref="S8:S10" si="9">U7</f>
        <v>-1.6477564189197222</v>
      </c>
      <c r="T8" s="4">
        <f t="shared" ref="T8:T10" si="10">Q8-((S8*(P8-Q8))/(R8-S8))</f>
        <v>2.5115114643656238</v>
      </c>
      <c r="U8" s="4">
        <f t="shared" ref="U8:U10" si="11">SIN(T8)+COS(1+T8^2)-1</f>
        <v>0.10873266878109433</v>
      </c>
      <c r="V8" s="4">
        <f>ABS((Tabla1489[[#This Row],[Columna2]]-T7)/Tabla1489[[#This Row],[Columna2]])*100</f>
        <v>13.197227471751372</v>
      </c>
    </row>
    <row r="9" spans="4:22">
      <c r="D9" t="s">
        <v>37</v>
      </c>
      <c r="E9" s="4">
        <f t="shared" si="0"/>
        <v>-1.226347475638796</v>
      </c>
      <c r="F9" s="4">
        <f t="shared" si="1"/>
        <v>0.23395121630274063</v>
      </c>
      <c r="G9" s="4">
        <f t="shared" si="2"/>
        <v>-2.744750011957847</v>
      </c>
      <c r="H9" s="4">
        <f t="shared" si="3"/>
        <v>-0.27471727281811131</v>
      </c>
      <c r="I9" s="4">
        <f t="shared" si="4"/>
        <v>0.39636577372668541</v>
      </c>
      <c r="J9" s="4">
        <f t="shared" si="5"/>
        <v>-0.21194032561645204</v>
      </c>
      <c r="K9" s="4">
        <f>ABS((Tabla14[[#This Row],[Columna2]]-I8)/Tabla14[[#This Row],[Columna2]])*100</f>
        <v>40.975928848977247</v>
      </c>
      <c r="O9" t="s">
        <v>37</v>
      </c>
      <c r="P9" s="4">
        <f t="shared" si="6"/>
        <v>2.842961345297069</v>
      </c>
      <c r="Q9" s="4">
        <f t="shared" si="7"/>
        <v>2.5115114643656238</v>
      </c>
      <c r="R9" s="4">
        <f t="shared" si="8"/>
        <v>-1.6477564189197222</v>
      </c>
      <c r="S9" s="4">
        <f t="shared" si="9"/>
        <v>0.10873266878109433</v>
      </c>
      <c r="T9" s="4">
        <f t="shared" si="10"/>
        <v>2.532029343112042</v>
      </c>
      <c r="U9" s="4">
        <f t="shared" si="11"/>
        <v>9.8873827682322002E-4</v>
      </c>
      <c r="V9" s="4">
        <f>ABS((Tabla1489[[#This Row],[Columna2]]-T8)/Tabla1489[[#This Row],[Columna2]])*100</f>
        <v>0.81033337161884078</v>
      </c>
    </row>
    <row r="10" spans="4:22">
      <c r="D10" t="s">
        <v>38</v>
      </c>
      <c r="E10" s="4">
        <f t="shared" si="0"/>
        <v>0.23395121630274063</v>
      </c>
      <c r="F10" s="4">
        <f t="shared" si="1"/>
        <v>0.39636577372668541</v>
      </c>
      <c r="G10" s="4">
        <f t="shared" si="2"/>
        <v>-0.27471727281811131</v>
      </c>
      <c r="H10" s="4">
        <f t="shared" si="3"/>
        <v>-0.21194032561645204</v>
      </c>
      <c r="I10" s="4">
        <f t="shared" si="4"/>
        <v>0.94469116576443302</v>
      </c>
      <c r="J10" s="4">
        <f t="shared" si="5"/>
        <v>-0.5058116970701505</v>
      </c>
      <c r="K10" s="4">
        <f>ABS((Tabla14[[#This Row],[Columna2]]-I9)/Tabla14[[#This Row],[Columna2]])*100</f>
        <v>58.04281990866815</v>
      </c>
      <c r="O10" t="s">
        <v>38</v>
      </c>
      <c r="P10" s="4">
        <f t="shared" si="6"/>
        <v>2.5115114643656238</v>
      </c>
      <c r="Q10" s="4">
        <f t="shared" si="7"/>
        <v>2.532029343112042</v>
      </c>
      <c r="R10" s="4">
        <f t="shared" si="8"/>
        <v>0.10873266878109433</v>
      </c>
      <c r="S10" s="4">
        <f t="shared" si="9"/>
        <v>9.8873827682322002E-4</v>
      </c>
      <c r="T10" s="4">
        <f t="shared" si="10"/>
        <v>2.5322176303963544</v>
      </c>
      <c r="U10" s="4">
        <f t="shared" si="11"/>
        <v>-2.740948120250053E-5</v>
      </c>
      <c r="V10" s="4">
        <f>ABS((Tabla1489[[#This Row],[Columna2]]-T9)/Tabla1489[[#This Row],[Columna2]])*100</f>
        <v>7.4356675371123043E-3</v>
      </c>
    </row>
    <row r="13" spans="4:22">
      <c r="D13" t="s">
        <v>14</v>
      </c>
      <c r="E13" s="4" t="s">
        <v>17</v>
      </c>
      <c r="F13" s="4" t="s">
        <v>18</v>
      </c>
      <c r="G13" s="4" t="s">
        <v>19</v>
      </c>
      <c r="H13" s="4" t="s">
        <v>20</v>
      </c>
      <c r="I13" s="4" t="s">
        <v>21</v>
      </c>
      <c r="J13" s="4" t="s">
        <v>22</v>
      </c>
      <c r="K13" s="4" t="s">
        <v>23</v>
      </c>
    </row>
    <row r="14" spans="4:22">
      <c r="D14" t="s">
        <v>25</v>
      </c>
      <c r="E14" s="4" t="s">
        <v>26</v>
      </c>
      <c r="F14" s="4" t="s">
        <v>27</v>
      </c>
      <c r="G14" s="4" t="s">
        <v>28</v>
      </c>
      <c r="H14" s="4" t="s">
        <v>29</v>
      </c>
      <c r="I14" s="4" t="s">
        <v>30</v>
      </c>
      <c r="J14" s="4" t="s">
        <v>31</v>
      </c>
      <c r="K14" s="5" t="s">
        <v>32</v>
      </c>
    </row>
    <row r="15" spans="4:22">
      <c r="D15" t="s">
        <v>33</v>
      </c>
      <c r="E15" s="6">
        <v>1.5</v>
      </c>
      <c r="F15" s="6">
        <v>2.5</v>
      </c>
      <c r="G15" s="6">
        <f>SIN(E15)+COS(1+E15^2)-1</f>
        <v>-0.99663468947649181</v>
      </c>
      <c r="H15" s="6">
        <f>SIN(F15)+COS(1+F15^2)-1</f>
        <v>0.16639631739265148</v>
      </c>
      <c r="I15" s="6">
        <f>F15-((H15*(E15-F15))/(G15-H15))</f>
        <v>2.356928734995134</v>
      </c>
      <c r="J15" s="6">
        <f>SIN(I15)+COS(1+I15^2)-1</f>
        <v>0.6698423142602048</v>
      </c>
      <c r="K15" s="4" t="s">
        <v>34</v>
      </c>
    </row>
    <row r="16" spans="4:22">
      <c r="D16" t="s">
        <v>35</v>
      </c>
      <c r="E16" s="4">
        <f>F15</f>
        <v>2.5</v>
      </c>
      <c r="F16" s="4">
        <f>I15</f>
        <v>2.356928734995134</v>
      </c>
      <c r="G16" s="4">
        <f>H15</f>
        <v>0.16639631739265148</v>
      </c>
      <c r="H16" s="4">
        <f>J15</f>
        <v>0.6698423142602048</v>
      </c>
      <c r="I16" s="4">
        <f>F16-((H16*(E16-F16))/(G16-H16))</f>
        <v>2.5472871604296037</v>
      </c>
      <c r="J16" s="4">
        <f>SIN(I16)+COS(1+I16^2)-1</f>
        <v>-8.2827907375874088E-2</v>
      </c>
      <c r="K16" s="4">
        <f>ABS((Tabla147[[#This Row],[Columna2]]-I15)/Tabla147[[#This Row],[Columna2]])*100</f>
        <v>7.4729864929074363</v>
      </c>
    </row>
    <row r="17" spans="4:11">
      <c r="D17" t="s">
        <v>36</v>
      </c>
      <c r="E17" s="4">
        <f t="shared" ref="E17:E19" si="12">F16</f>
        <v>2.356928734995134</v>
      </c>
      <c r="F17" s="4">
        <f t="shared" ref="F17:F19" si="13">I16</f>
        <v>2.5472871604296037</v>
      </c>
      <c r="G17" s="4">
        <f t="shared" ref="G17:G19" si="14">H16</f>
        <v>0.6698423142602048</v>
      </c>
      <c r="H17" s="4">
        <f t="shared" ref="H17:H19" si="15">J16</f>
        <v>-8.2827907375874088E-2</v>
      </c>
      <c r="I17" s="4">
        <f t="shared" ref="I17:I19" si="16">F17-((H17*(E17-F17))/(G17-H17))</f>
        <v>2.5263390883830827</v>
      </c>
      <c r="J17" s="4">
        <f t="shared" ref="J17:J19" si="17">SIN(I17)+COS(1+I17^2)-1</f>
        <v>3.1471092610888984E-2</v>
      </c>
      <c r="K17" s="4">
        <f>ABS((Tabla147[[#This Row],[Columna2]]-I16)/Tabla147[[#This Row],[Columna2]])*100</f>
        <v>0.82918687134466207</v>
      </c>
    </row>
    <row r="18" spans="4:11">
      <c r="D18" t="s">
        <v>37</v>
      </c>
      <c r="E18" s="4">
        <f t="shared" si="12"/>
        <v>2.5472871604296037</v>
      </c>
      <c r="F18" s="4">
        <f t="shared" si="13"/>
        <v>2.5263390883830827</v>
      </c>
      <c r="G18" s="4">
        <f t="shared" si="14"/>
        <v>-8.2827907375874088E-2</v>
      </c>
      <c r="H18" s="4">
        <f t="shared" si="15"/>
        <v>3.1471092610888984E-2</v>
      </c>
      <c r="I18" s="4">
        <f t="shared" si="16"/>
        <v>2.5321069316316849</v>
      </c>
      <c r="J18" s="4">
        <f t="shared" si="17"/>
        <v>5.7006635777878678E-4</v>
      </c>
      <c r="K18" s="4">
        <f>ABS((Tabla147[[#This Row],[Columna2]]-I17)/Tabla147[[#This Row],[Columna2]])*100</f>
        <v>0.22778829663743097</v>
      </c>
    </row>
    <row r="19" spans="4:11">
      <c r="D19" t="s">
        <v>38</v>
      </c>
      <c r="E19" s="4">
        <f t="shared" si="12"/>
        <v>2.5263390883830827</v>
      </c>
      <c r="F19" s="4">
        <f t="shared" si="13"/>
        <v>2.5321069316316849</v>
      </c>
      <c r="G19" s="4">
        <f t="shared" si="14"/>
        <v>3.1471092610888984E-2</v>
      </c>
      <c r="H19" s="4">
        <f t="shared" si="15"/>
        <v>5.7006635777878678E-4</v>
      </c>
      <c r="I19" s="4">
        <f t="shared" si="16"/>
        <v>2.5322133375926401</v>
      </c>
      <c r="J19" s="4">
        <f t="shared" si="17"/>
        <v>-4.2368280870341835E-6</v>
      </c>
      <c r="K19" s="4">
        <f>ABS((Tabla147[[#This Row],[Columna2]]-I18)/Tabla147[[#This Row],[Columna2]])*100</f>
        <v>4.202093061258236E-3</v>
      </c>
    </row>
    <row r="22" spans="4:11">
      <c r="D22" t="s">
        <v>14</v>
      </c>
      <c r="E22" s="4" t="s">
        <v>17</v>
      </c>
      <c r="F22" s="4" t="s">
        <v>18</v>
      </c>
      <c r="G22" s="4" t="s">
        <v>19</v>
      </c>
      <c r="H22" s="4" t="s">
        <v>20</v>
      </c>
      <c r="I22" s="4" t="s">
        <v>21</v>
      </c>
      <c r="J22" s="4" t="s">
        <v>22</v>
      </c>
      <c r="K22" s="4" t="s">
        <v>23</v>
      </c>
    </row>
    <row r="23" spans="4:11">
      <c r="D23" t="s">
        <v>25</v>
      </c>
      <c r="E23" s="4" t="s">
        <v>26</v>
      </c>
      <c r="F23" s="4" t="s">
        <v>27</v>
      </c>
      <c r="G23" s="4" t="s">
        <v>28</v>
      </c>
      <c r="H23" s="4" t="s">
        <v>29</v>
      </c>
      <c r="I23" s="4" t="s">
        <v>30</v>
      </c>
      <c r="J23" s="4" t="s">
        <v>31</v>
      </c>
      <c r="K23" s="5" t="s">
        <v>32</v>
      </c>
    </row>
    <row r="24" spans="4:11">
      <c r="D24" t="s">
        <v>33</v>
      </c>
      <c r="E24" s="6">
        <v>1.5</v>
      </c>
      <c r="F24" s="6">
        <v>2.25</v>
      </c>
      <c r="G24" s="6">
        <f>SIN(E24)+COS(1+E24^2)-1</f>
        <v>-0.99663468947649181</v>
      </c>
      <c r="H24" s="6">
        <f>SIN(F24)+COS(1+F24^2)-1</f>
        <v>0.75382086273961324</v>
      </c>
      <c r="I24" s="6">
        <f>F24-((H24*(E24-F24))/(G24-H24))</f>
        <v>1.9270179932081406</v>
      </c>
      <c r="J24" s="6">
        <f>SIN(I24)+COS(1+I24^2)-1</f>
        <v>-6.1769484661943208E-2</v>
      </c>
      <c r="K24" s="4" t="s">
        <v>34</v>
      </c>
    </row>
    <row r="25" spans="4:11">
      <c r="D25" t="s">
        <v>35</v>
      </c>
      <c r="E25" s="4">
        <f>F24</f>
        <v>2.25</v>
      </c>
      <c r="F25" s="4">
        <f>I24</f>
        <v>1.9270179932081406</v>
      </c>
      <c r="G25" s="4">
        <f>H24</f>
        <v>0.75382086273961324</v>
      </c>
      <c r="H25" s="4">
        <f>J24</f>
        <v>-6.1769484661943208E-2</v>
      </c>
      <c r="I25" s="4">
        <f>F25-((H25*(E25-F25))/(G25-H25))</f>
        <v>1.9514793323818751</v>
      </c>
      <c r="J25" s="4">
        <f>SIN(I25)+COS(1+I25^2)-1</f>
        <v>2.4146834379239035E-2</v>
      </c>
      <c r="K25" s="4">
        <f>ABS((Tabla148[[#This Row],[Columna2]]-I24)/Tabla148[[#This Row],[Columna2]])*100</f>
        <v>1.2534767223938901</v>
      </c>
    </row>
    <row r="26" spans="4:11">
      <c r="D26" t="s">
        <v>36</v>
      </c>
      <c r="E26" s="4">
        <f t="shared" ref="E26:E28" si="18">F25</f>
        <v>1.9270179932081406</v>
      </c>
      <c r="F26" s="4">
        <f t="shared" ref="F26:F28" si="19">I25</f>
        <v>1.9514793323818751</v>
      </c>
      <c r="G26" s="4">
        <f t="shared" ref="G26:G28" si="20">H25</f>
        <v>-6.1769484661943208E-2</v>
      </c>
      <c r="H26" s="4">
        <f t="shared" ref="H26:H28" si="21">J25</f>
        <v>2.4146834379239035E-2</v>
      </c>
      <c r="I26" s="4">
        <f t="shared" ref="I26:I28" si="22">F26-((H26*(E26-F26))/(G26-H26))</f>
        <v>1.9446044579422539</v>
      </c>
      <c r="J26" s="4">
        <f t="shared" ref="J26:J28" si="23">SIN(I26)+COS(1+I26^2)-1</f>
        <v>-1.3943668802030018E-5</v>
      </c>
      <c r="K26" s="4">
        <f>ABS((Tabla148[[#This Row],[Columna2]]-I25)/Tabla148[[#This Row],[Columna2]])*100</f>
        <v>0.35353587777413997</v>
      </c>
    </row>
    <row r="27" spans="4:11">
      <c r="D27" t="s">
        <v>37</v>
      </c>
      <c r="E27" s="4">
        <f t="shared" si="18"/>
        <v>1.9514793323818751</v>
      </c>
      <c r="F27" s="4">
        <f t="shared" si="19"/>
        <v>1.9446044579422539</v>
      </c>
      <c r="G27" s="4">
        <f t="shared" si="20"/>
        <v>2.4146834379239035E-2</v>
      </c>
      <c r="H27" s="4">
        <f t="shared" si="21"/>
        <v>-1.3943668802030018E-5</v>
      </c>
      <c r="I27" s="4">
        <f t="shared" si="22"/>
        <v>1.9446084255699541</v>
      </c>
      <c r="J27" s="4">
        <f t="shared" si="23"/>
        <v>1.6100651922812403E-9</v>
      </c>
      <c r="K27" s="4">
        <f>ABS((Tabla148[[#This Row],[Columna2]]-I26)/Tabla148[[#This Row],[Columna2]])*100</f>
        <v>2.0403221790013301E-4</v>
      </c>
    </row>
    <row r="28" spans="4:11">
      <c r="D28" t="s">
        <v>38</v>
      </c>
      <c r="E28" s="4">
        <f t="shared" si="18"/>
        <v>1.9446044579422539</v>
      </c>
      <c r="F28" s="4">
        <f t="shared" si="19"/>
        <v>1.9446084255699541</v>
      </c>
      <c r="G28" s="4">
        <f t="shared" si="20"/>
        <v>-1.3943668802030018E-5</v>
      </c>
      <c r="H28" s="4">
        <f t="shared" si="21"/>
        <v>1.6100651922812403E-9</v>
      </c>
      <c r="I28" s="4">
        <f t="shared" si="22"/>
        <v>1.9446084251118678</v>
      </c>
      <c r="J28" s="4">
        <f t="shared" si="23"/>
        <v>0</v>
      </c>
      <c r="K28" s="4">
        <f>ABS((Tabla148[[#This Row],[Columna2]]-I27)/Tabla148[[#This Row],[Columna2]])*100</f>
        <v>2.3556734080506179E-8</v>
      </c>
    </row>
    <row r="31" spans="4:11">
      <c r="D31" t="s">
        <v>14</v>
      </c>
      <c r="E31" s="4" t="s">
        <v>17</v>
      </c>
      <c r="F31" s="4" t="s">
        <v>18</v>
      </c>
      <c r="G31" s="4" t="s">
        <v>19</v>
      </c>
      <c r="H31" s="4" t="s">
        <v>20</v>
      </c>
      <c r="I31" s="4" t="s">
        <v>21</v>
      </c>
      <c r="J31" s="4" t="s">
        <v>22</v>
      </c>
      <c r="K31" s="4" t="s">
        <v>23</v>
      </c>
    </row>
    <row r="32" spans="4:11">
      <c r="D32" t="s">
        <v>25</v>
      </c>
      <c r="E32" s="4" t="s">
        <v>26</v>
      </c>
      <c r="F32" s="4" t="s">
        <v>27</v>
      </c>
      <c r="G32" s="4" t="s">
        <v>28</v>
      </c>
      <c r="H32" s="4" t="s">
        <v>29</v>
      </c>
      <c r="I32" s="4" t="s">
        <v>30</v>
      </c>
      <c r="J32" s="4" t="s">
        <v>31</v>
      </c>
      <c r="K32" s="5" t="s">
        <v>32</v>
      </c>
    </row>
    <row r="33" spans="4:11">
      <c r="D33" t="s">
        <v>33</v>
      </c>
      <c r="E33" s="6">
        <v>1</v>
      </c>
      <c r="F33" s="6">
        <v>2</v>
      </c>
      <c r="G33" s="6">
        <f>E33^3 - 2*SIN(E33) - 3</f>
        <v>-3.682941969615793</v>
      </c>
      <c r="H33" s="6">
        <f>Tabla14893[[#This Row],[B]]^3 - 2*SIN(Tabla14893[[#This Row],[B]]) - 3</f>
        <v>3.1814051463486361</v>
      </c>
      <c r="I33" s="6">
        <f>F33-((H33*(E33-F33))/(G33-H33))</f>
        <v>1.5365320120613315</v>
      </c>
      <c r="J33" s="6">
        <f>SIN(I33)+COS(1+I33^2)-1</f>
        <v>-0.97662867411070176</v>
      </c>
      <c r="K33" s="4" t="s">
        <v>34</v>
      </c>
    </row>
    <row r="34" spans="4:11">
      <c r="D34" t="s">
        <v>35</v>
      </c>
      <c r="E34" s="4">
        <f>F33</f>
        <v>2</v>
      </c>
      <c r="F34" s="4">
        <f>I33</f>
        <v>1.5365320120613315</v>
      </c>
      <c r="G34" s="4">
        <f>H33</f>
        <v>3.1814051463486361</v>
      </c>
      <c r="H34" s="4">
        <f>J33</f>
        <v>-0.97662867411070176</v>
      </c>
      <c r="I34" s="4">
        <f>F34-((H34*(E34-F34))/(G34-H34))</f>
        <v>1.6453902239224591</v>
      </c>
      <c r="J34" s="4">
        <f>SIN(I34)+COS(1+I34^2)-1</f>
        <v>-0.84698568141155506</v>
      </c>
      <c r="K34" s="4">
        <f>ABS((Tabla14893[[#This Row],[Columna2]]-I33)/Tabla14893[[#This Row],[Columna2]])*100</f>
        <v>6.6159510539463202</v>
      </c>
    </row>
    <row r="35" spans="4:11">
      <c r="D35" t="s">
        <v>36</v>
      </c>
      <c r="E35" s="4">
        <f t="shared" ref="E35:E37" si="24">F34</f>
        <v>1.5365320120613315</v>
      </c>
      <c r="F35" s="4">
        <f t="shared" ref="F35:F37" si="25">I34</f>
        <v>1.6453902239224591</v>
      </c>
      <c r="G35" s="4">
        <f t="shared" ref="G35:G37" si="26">H34</f>
        <v>-0.97662867411070176</v>
      </c>
      <c r="H35" s="4">
        <f t="shared" ref="H35:H37" si="27">J34</f>
        <v>-0.84698568141155506</v>
      </c>
      <c r="I35" s="4">
        <f t="shared" ref="I35:I37" si="28">F35-((H35*(E35-F35))/(G35-H35))</f>
        <v>2.3565844414487835</v>
      </c>
      <c r="J35" s="4">
        <f t="shared" ref="J35:J37" si="29">SIN(I35)+COS(1+I35^2)-1</f>
        <v>0.67052050940007568</v>
      </c>
      <c r="K35" s="4">
        <f>ABS((Tabla14893[[#This Row],[Columna2]]-I34)/Tabla14893[[#This Row],[Columna2]])*100</f>
        <v>30.179025415660288</v>
      </c>
    </row>
    <row r="36" spans="4:11">
      <c r="D36" t="s">
        <v>37</v>
      </c>
      <c r="E36" s="4">
        <f t="shared" si="24"/>
        <v>1.6453902239224591</v>
      </c>
      <c r="F36" s="4">
        <f t="shared" si="25"/>
        <v>2.3565844414487835</v>
      </c>
      <c r="G36" s="4">
        <f t="shared" si="26"/>
        <v>-0.84698568141155506</v>
      </c>
      <c r="H36" s="4">
        <f t="shared" si="27"/>
        <v>0.67052050940007568</v>
      </c>
      <c r="I36" s="4">
        <f t="shared" si="28"/>
        <v>2.0423384028457465</v>
      </c>
      <c r="J36" s="4">
        <f t="shared" si="29"/>
        <v>0.33370296797746013</v>
      </c>
      <c r="K36" s="4">
        <f>ABS((Tabla14893[[#This Row],[Columna2]]-I35)/Tabla14893[[#This Row],[Columna2]])*100</f>
        <v>15.386580312311315</v>
      </c>
    </row>
    <row r="37" spans="4:11">
      <c r="D37" t="s">
        <v>38</v>
      </c>
      <c r="E37" s="4">
        <f t="shared" si="24"/>
        <v>2.3565844414487835</v>
      </c>
      <c r="F37" s="4">
        <f t="shared" si="25"/>
        <v>2.0423384028457465</v>
      </c>
      <c r="G37" s="4">
        <f t="shared" si="26"/>
        <v>0.67052050940007568</v>
      </c>
      <c r="H37" s="4">
        <f t="shared" si="27"/>
        <v>0.33370296797746013</v>
      </c>
      <c r="I37" s="4">
        <f t="shared" si="28"/>
        <v>1.730998217551134</v>
      </c>
      <c r="J37" s="4">
        <f t="shared" si="29"/>
        <v>-0.6692028481900425</v>
      </c>
      <c r="K37" s="4">
        <f>ABS((Tabla14893[[#This Row],[Columna2]]-I36)/Tabla14893[[#This Row],[Columna2]])*100</f>
        <v>17.986164407209472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20CE2-26C6-4EBA-BDBC-68DD0D5EA2F3}">
  <dimension ref="B2:G5"/>
  <sheetViews>
    <sheetView workbookViewId="0">
      <selection activeCell="F27" sqref="F27"/>
    </sheetView>
  </sheetViews>
  <sheetFormatPr baseColWidth="10" defaultRowHeight="15"/>
  <sheetData>
    <row r="2" spans="2:7" ht="15.75" thickBot="1"/>
    <row r="3" spans="2:7" ht="45.75" thickBot="1">
      <c r="B3" s="7" t="s">
        <v>39</v>
      </c>
      <c r="C3" s="7" t="s">
        <v>40</v>
      </c>
      <c r="D3" s="7" t="s">
        <v>41</v>
      </c>
      <c r="E3" s="7" t="s">
        <v>42</v>
      </c>
      <c r="F3" s="7" t="s">
        <v>43</v>
      </c>
      <c r="G3" s="8" t="s">
        <v>44</v>
      </c>
    </row>
    <row r="4" spans="2:7" ht="30.75" thickBot="1">
      <c r="B4" s="7" t="s">
        <v>45</v>
      </c>
      <c r="C4" s="9">
        <v>10000</v>
      </c>
      <c r="D4" s="9">
        <v>9999</v>
      </c>
      <c r="E4" s="10">
        <f>ABS(C4-D4)</f>
        <v>1</v>
      </c>
      <c r="F4" s="10">
        <f>E4/C4</f>
        <v>1E-4</v>
      </c>
      <c r="G4" s="11">
        <f>F4</f>
        <v>1E-4</v>
      </c>
    </row>
    <row r="5" spans="2:7" ht="30.75" thickBot="1">
      <c r="B5" s="7" t="s">
        <v>46</v>
      </c>
      <c r="C5" s="10">
        <v>10</v>
      </c>
      <c r="D5" s="10">
        <v>9</v>
      </c>
      <c r="E5" s="10">
        <f>ABS(C5-D5)</f>
        <v>1</v>
      </c>
      <c r="F5" s="10">
        <f>E5/C5</f>
        <v>0.1</v>
      </c>
      <c r="G5" s="11">
        <f>F5</f>
        <v>0.1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B0161-90D5-4117-B6EC-F58B71047792}">
  <dimension ref="C2:N6"/>
  <sheetViews>
    <sheetView tabSelected="1" workbookViewId="0">
      <selection activeCell="F6" sqref="F6"/>
    </sheetView>
  </sheetViews>
  <sheetFormatPr baseColWidth="10" defaultRowHeight="15"/>
  <cols>
    <col min="4" max="4" width="13.5703125" customWidth="1"/>
    <col min="5" max="5" width="12.85546875" bestFit="1" customWidth="1"/>
    <col min="6" max="6" width="14.28515625" bestFit="1" customWidth="1"/>
  </cols>
  <sheetData>
    <row r="2" spans="3:14" ht="15.75" thickBot="1"/>
    <row r="3" spans="3:14" ht="60.75" thickBot="1">
      <c r="C3" s="7" t="s">
        <v>47</v>
      </c>
      <c r="D3" s="7" t="s">
        <v>48</v>
      </c>
      <c r="E3" s="7" t="s">
        <v>49</v>
      </c>
      <c r="F3" s="7" t="s">
        <v>50</v>
      </c>
      <c r="G3" s="8" t="s">
        <v>51</v>
      </c>
      <c r="J3" s="7" t="s">
        <v>47</v>
      </c>
      <c r="K3" s="7" t="s">
        <v>48</v>
      </c>
      <c r="L3" s="7" t="s">
        <v>49</v>
      </c>
      <c r="M3" s="7" t="s">
        <v>50</v>
      </c>
      <c r="N3" s="8" t="s">
        <v>51</v>
      </c>
    </row>
    <row r="4" spans="3:14" ht="30.75" thickBot="1">
      <c r="C4" s="7" t="s">
        <v>52</v>
      </c>
      <c r="D4" s="7" t="s">
        <v>53</v>
      </c>
      <c r="E4" s="7" t="s">
        <v>27</v>
      </c>
      <c r="F4" s="7" t="s">
        <v>54</v>
      </c>
      <c r="G4" s="8" t="s">
        <v>55</v>
      </c>
      <c r="J4" s="7" t="s">
        <v>52</v>
      </c>
      <c r="K4" s="7" t="s">
        <v>53</v>
      </c>
      <c r="L4" s="7" t="s">
        <v>27</v>
      </c>
      <c r="M4" s="7" t="s">
        <v>54</v>
      </c>
      <c r="N4" s="8" t="s">
        <v>55</v>
      </c>
    </row>
    <row r="5" spans="3:14" ht="57.75" thickBot="1">
      <c r="C5" s="7" t="s">
        <v>56</v>
      </c>
      <c r="D5" s="10">
        <v>0</v>
      </c>
      <c r="E5" s="15">
        <v>1</v>
      </c>
      <c r="F5" s="10">
        <f>(-(E5^4) + 8.6*(E5^3) + 35.51*(E5^2) + 998.46) / 464</f>
        <v>2.2447629310344825</v>
      </c>
      <c r="G5" s="12" t="s">
        <v>59</v>
      </c>
      <c r="J5" s="7" t="s">
        <v>56</v>
      </c>
      <c r="K5" s="10">
        <v>0</v>
      </c>
      <c r="L5" s="10" t="s">
        <v>57</v>
      </c>
      <c r="M5" s="10" t="s">
        <v>58</v>
      </c>
      <c r="N5" s="12" t="s">
        <v>59</v>
      </c>
    </row>
    <row r="6" spans="3:14" ht="43.5" thickBot="1">
      <c r="C6" s="7" t="s">
        <v>60</v>
      </c>
      <c r="D6" s="13">
        <f>D5+1</f>
        <v>1</v>
      </c>
      <c r="E6" s="13">
        <f>F5</f>
        <v>2.2447629310344825</v>
      </c>
      <c r="F6" s="10">
        <f>(-(E6^4) + 8.6*(E6^3) + 35.51*(E6^2) + 998.46) / 464</f>
        <v>2.6924122987585561</v>
      </c>
      <c r="G6" s="14">
        <f>ABS((E6-E5)/E6)*100</f>
        <v>55.451865933158594</v>
      </c>
      <c r="J6" s="7" t="s">
        <v>60</v>
      </c>
      <c r="K6" s="13">
        <f>H2+1</f>
        <v>1</v>
      </c>
      <c r="L6" s="13">
        <f>J2</f>
        <v>0</v>
      </c>
      <c r="M6" s="10" t="s">
        <v>58</v>
      </c>
      <c r="N6" s="14" t="e">
        <f>ABS((I3-I2)/I3)*100</f>
        <v>#DIV/0!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Polinomios de lagrange</vt:lpstr>
      <vt:lpstr>Secante</vt:lpstr>
      <vt:lpstr>Tipos de errores</vt:lpstr>
      <vt:lpstr>Metodo del punto fijo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David Rodriguez Gonzalez</dc:creator>
  <cp:lastModifiedBy>Angel David Rodriguez Gonzalez</cp:lastModifiedBy>
  <dcterms:created xsi:type="dcterms:W3CDTF">2026-03-20T17:07:00Z</dcterms:created>
  <dcterms:modified xsi:type="dcterms:W3CDTF">2026-03-28T16:27:25Z</dcterms:modified>
</cp:coreProperties>
</file>